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ftg820\OneDrive - AZCollaboration\New MyDoc\Programming\Last Versions\sgRNA Annotator\"/>
    </mc:Choice>
  </mc:AlternateContent>
  <bookViews>
    <workbookView xWindow="0" yWindow="0" windowWidth="24870" windowHeight="6660"/>
  </bookViews>
  <sheets>
    <sheet name="Main" sheetId="1" r:id="rId1"/>
    <sheet name="Chromosome_IDs" sheetId="5" r:id="rId2"/>
    <sheet name="Info" sheetId="6" r:id="rId3"/>
  </sheets>
  <functionGroups builtInGroupCount="18"/>
  <definedNames>
    <definedName name="_xlnm._FilterDatabase" localSheetId="0" hidden="1">Main!$B$7:$G$7</definedName>
    <definedName name="Annotation_Name">Main!$D$7</definedName>
    <definedName name="AnnotationType">Main!$C$7</definedName>
    <definedName name="Count">Main!$I$9</definedName>
    <definedName name="CutSite">Main!$G$7</definedName>
    <definedName name="DeletionSize">Main!$N$7</definedName>
    <definedName name="Frame">Main!$O$7</definedName>
    <definedName name="GeneID_Human">Info!$B$14</definedName>
    <definedName name="GeneID_Mouse">Info!$B$15</definedName>
    <definedName name="HumanLibsgRNAs">Info!$B$16</definedName>
    <definedName name="Max_Distance">Main!$J$19</definedName>
    <definedName name="Min_Distance_PAM3">Main!$J$14</definedName>
    <definedName name="Min_Distance_PAM5">Main!$J$15</definedName>
    <definedName name="Min_Distance_PAMin">Main!$J$16</definedName>
    <definedName name="Min_Distance_PAMout">Main!$J$17</definedName>
    <definedName name="MouseLibsgRNAs">Info!$B$17</definedName>
    <definedName name="NewAddress">Main!$I$5</definedName>
    <definedName name="PAM_Status">Main!$P$7</definedName>
    <definedName name="Reference">Main!$A$7</definedName>
    <definedName name="Results">Main!$F$7</definedName>
    <definedName name="Sequence">Main!$B$7</definedName>
    <definedName name="sgRNA1">Main!$L$7</definedName>
    <definedName name="sgRNA2">Main!$M$7</definedName>
    <definedName name="Species">Main!$B$3</definedName>
    <definedName name="Strand">Main!$E$7</definedName>
    <definedName name="Targeted_Gene">Main!$B$2</definedName>
    <definedName name="Version">Info!$B$18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5" l="1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28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I9" i="1" l="1"/>
</calcChain>
</file>

<file path=xl/comments1.xml><?xml version="1.0" encoding="utf-8"?>
<comments xmlns="http://schemas.openxmlformats.org/spreadsheetml/2006/main">
  <authors>
    <author>Taheri-Ghahfarokhi, Amir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 xml:space="preserve">"CRISPR" </t>
        </r>
        <r>
          <rPr>
            <sz val="9"/>
            <color indexed="81"/>
            <rFont val="Tahoma"/>
            <family val="2"/>
          </rPr>
          <t>is the default value.
Feel free to specify a customized type.</t>
        </r>
      </text>
    </comment>
    <comment ref="D7" authorId="0" shapeId="0">
      <text>
        <r>
          <rPr>
            <sz val="9"/>
            <color indexed="81"/>
            <rFont val="Tahoma"/>
            <family val="2"/>
          </rPr>
          <t>If you don't specify a name for an anootation, then the "</t>
        </r>
        <r>
          <rPr>
            <b/>
            <sz val="9"/>
            <color indexed="81"/>
            <rFont val="Tahoma"/>
            <family val="2"/>
          </rPr>
          <t>Annotation Type</t>
        </r>
        <r>
          <rPr>
            <sz val="9"/>
            <color indexed="81"/>
            <rFont val="Tahoma"/>
            <family val="2"/>
          </rPr>
          <t>" will be automaticaly used as the name.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gene_result" description="Connection to the 'gene_result' query in the workbook." type="5" refreshedVersion="0" background="1">
    <dbPr connection="Provider=Microsoft.Mashup.OleDb.1;Data Source=$Workbook$;Location=gene_result;Extended Properties=&quot;&quot;" command="SELECT * FROM [gene_result]"/>
  </connection>
</connections>
</file>

<file path=xl/sharedStrings.xml><?xml version="1.0" encoding="utf-8"?>
<sst xmlns="http://schemas.openxmlformats.org/spreadsheetml/2006/main" count="289" uniqueCount="211">
  <si>
    <t>Annotation Type</t>
  </si>
  <si>
    <t>Strand</t>
  </si>
  <si>
    <t>Result</t>
  </si>
  <si>
    <t>Count:</t>
  </si>
  <si>
    <t>sgRNA1</t>
  </si>
  <si>
    <t>sgRNA2</t>
  </si>
  <si>
    <t>Deletion Size</t>
  </si>
  <si>
    <t>User inputs (required)</t>
  </si>
  <si>
    <t>CutSite</t>
  </si>
  <si>
    <t>Output</t>
  </si>
  <si>
    <t>Don't change:</t>
  </si>
  <si>
    <t>Dual-guide combinations</t>
  </si>
  <si>
    <t>sgRNA Sequence</t>
  </si>
  <si>
    <t>Frame</t>
  </si>
  <si>
    <t>PAM Status</t>
  </si>
  <si>
    <t>Library info</t>
  </si>
  <si>
    <t>Reference</t>
  </si>
  <si>
    <t>Targeted Gene:</t>
  </si>
  <si>
    <t>Species:</t>
  </si>
  <si>
    <t>The updated .gb file can be found here:</t>
  </si>
  <si>
    <t>Set the min and max off-sets between two cutsites:</t>
  </si>
  <si>
    <t>Max. distance:</t>
  </si>
  <si>
    <t>Min. distance:</t>
  </si>
  <si>
    <t>PAM 3´ (Fwd-Fwd)</t>
  </si>
  <si>
    <t>PAM 5´ (Rev-Rev)</t>
  </si>
  <si>
    <t>PAM-in (Fwd-Rev)</t>
  </si>
  <si>
    <t>PAM-out (Rev-Fwd)</t>
  </si>
  <si>
    <t>Human</t>
  </si>
  <si>
    <t>Mouse</t>
  </si>
  <si>
    <t>Annotation Name</t>
  </si>
  <si>
    <t>https://www.ncbi.nlm.nih.gov/sviewer/viewer.cgi?tool=portal&amp;save=file&amp;log$=seqview&amp;db=nuccore&amp;report=genbank&amp;id=568815597&amp;to=100&amp;</t>
  </si>
  <si>
    <t>https://www.ncbi.nlm.nih.gov/sviewer/viewer.cgi?tool=portal&amp;save=file&amp;log$=seqview&amp;db=nuccore&amp;report=genbank&amp;id=568815596&amp;to=100&amp;</t>
  </si>
  <si>
    <t>https://www.ncbi.nlm.nih.gov/sviewer/viewer.cgi?tool=portal&amp;save=file&amp;log$=seqview&amp;db=nuccore&amp;report=genbank&amp;id=568815595&amp;to=100&amp;</t>
  </si>
  <si>
    <t>https://www.ncbi.nlm.nih.gov/sviewer/viewer.cgi?tool=portal&amp;save=file&amp;log$=seqview&amp;db=nuccore&amp;report=genbank&amp;id=568815594&amp;to=100&amp;</t>
  </si>
  <si>
    <t>https://www.ncbi.nlm.nih.gov/sviewer/viewer.cgi?tool=portal&amp;save=file&amp;log$=seqview&amp;db=nuccore&amp;report=genbank&amp;id=568815593&amp;to=100&amp;</t>
  </si>
  <si>
    <t>https://www.ncbi.nlm.nih.gov/sviewer/viewer.cgi?tool=portal&amp;save=file&amp;log$=seqview&amp;db=nuccore&amp;report=genbank&amp;id=568815592&amp;to=100&amp;</t>
  </si>
  <si>
    <t>https://www.ncbi.nlm.nih.gov/sviewer/viewer.cgi?tool=portal&amp;save=file&amp;log$=seqview&amp;db=nuccore&amp;report=genbank&amp;id=568815591&amp;to=100&amp;</t>
  </si>
  <si>
    <t>https://www.ncbi.nlm.nih.gov/sviewer/viewer.cgi?tool=portal&amp;save=file&amp;log$=seqview&amp;db=nuccore&amp;report=genbank&amp;id=568815590&amp;to=100&amp;</t>
  </si>
  <si>
    <t>https://www.ncbi.nlm.nih.gov/sviewer/viewer.cgi?tool=portal&amp;save=file&amp;log$=seqview&amp;db=nuccore&amp;report=genbank&amp;id=568815589&amp;to=100&amp;</t>
  </si>
  <si>
    <t>https://www.ncbi.nlm.nih.gov/sviewer/viewer.cgi?tool=portal&amp;save=file&amp;log$=seqview&amp;db=nuccore&amp;report=genbank&amp;id=568815588&amp;to=100&amp;</t>
  </si>
  <si>
    <t>https://www.ncbi.nlm.nih.gov/sviewer/viewer.cgi?tool=portal&amp;save=file&amp;log$=seqview&amp;db=nuccore&amp;report=genbank&amp;id=568815587&amp;to=100&amp;</t>
  </si>
  <si>
    <t>https://www.ncbi.nlm.nih.gov/sviewer/viewer.cgi?tool=portal&amp;save=file&amp;log$=seqview&amp;db=nuccore&amp;report=genbank&amp;id=568815586&amp;to=100&amp;</t>
  </si>
  <si>
    <t>https://www.ncbi.nlm.nih.gov/sviewer/viewer.cgi?tool=portal&amp;save=file&amp;log$=seqview&amp;db=nuccore&amp;report=genbank&amp;id=568815585&amp;to=100&amp;</t>
  </si>
  <si>
    <t>https://www.ncbi.nlm.nih.gov/sviewer/viewer.cgi?tool=portal&amp;save=file&amp;log$=seqview&amp;db=nuccore&amp;report=genbank&amp;id=568815584&amp;to=100&amp;</t>
  </si>
  <si>
    <t>https://www.ncbi.nlm.nih.gov/sviewer/viewer.cgi?tool=portal&amp;save=file&amp;log$=seqview&amp;db=nuccore&amp;report=genbank&amp;id=568815583&amp;to=100&amp;</t>
  </si>
  <si>
    <t>https://www.ncbi.nlm.nih.gov/sviewer/viewer.cgi?tool=portal&amp;save=file&amp;log$=seqview&amp;db=nuccore&amp;report=genbank&amp;id=568815582&amp;to=100&amp;</t>
  </si>
  <si>
    <t>https://www.ncbi.nlm.nih.gov/sviewer/viewer.cgi?tool=portal&amp;save=file&amp;log$=seqview&amp;db=nuccore&amp;report=genbank&amp;id=568815581&amp;to=100&amp;</t>
  </si>
  <si>
    <t>https://www.ncbi.nlm.nih.gov/sviewer/viewer.cgi?tool=portal&amp;save=file&amp;log$=seqview&amp;db=nuccore&amp;report=genbank&amp;id=568815580&amp;to=100&amp;</t>
  </si>
  <si>
    <t>https://www.ncbi.nlm.nih.gov/sviewer/viewer.cgi?tool=portal&amp;save=file&amp;log$=seqview&amp;db=nuccore&amp;report=genbank&amp;id=568815579&amp;to=100&amp;</t>
  </si>
  <si>
    <t>https://www.ncbi.nlm.nih.gov/sviewer/viewer.cgi?tool=portal&amp;save=file&amp;log$=seqview&amp;db=nuccore&amp;report=genbank&amp;id=568815578&amp;to=100&amp;</t>
  </si>
  <si>
    <t>https://www.ncbi.nlm.nih.gov/sviewer/viewer.cgi?tool=portal&amp;save=file&amp;log$=seqview&amp;db=nuccore&amp;report=genbank&amp;id=568815577&amp;to=100&amp;</t>
  </si>
  <si>
    <t>https://www.ncbi.nlm.nih.gov/sviewer/viewer.cgi?tool=portal&amp;save=file&amp;log$=seqview&amp;db=nuccore&amp;report=genbank&amp;id=568815576&amp;to=100&amp;</t>
  </si>
  <si>
    <t>https://www.ncbi.nlm.nih.gov/sviewer/viewer.cgi?tool=portal&amp;save=file&amp;log$=seqview&amp;db=nuccore&amp;report=genbank&amp;id=568815575&amp;to=100&amp;</t>
  </si>
  <si>
    <t>https://www.ncbi.nlm.nih.gov/sviewer/viewer.cgi?tool=portal&amp;save=file&amp;log$=seqview&amp;db=nuccore&amp;report=genbank&amp;id=568815574&amp;to=100&amp;</t>
  </si>
  <si>
    <t>Chr 1</t>
  </si>
  <si>
    <t>Chr 2</t>
  </si>
  <si>
    <t>Chr 3</t>
  </si>
  <si>
    <t>Chr 4</t>
  </si>
  <si>
    <t>Chr 5</t>
  </si>
  <si>
    <t>Chr 6</t>
  </si>
  <si>
    <t>Chr 7</t>
  </si>
  <si>
    <t>Chr 8</t>
  </si>
  <si>
    <t>Chr 9</t>
  </si>
  <si>
    <t>Chr 10</t>
  </si>
  <si>
    <t>Chr 11</t>
  </si>
  <si>
    <t>Chr 12</t>
  </si>
  <si>
    <t>Chr 13</t>
  </si>
  <si>
    <t>Chr 14</t>
  </si>
  <si>
    <t>Chr 15</t>
  </si>
  <si>
    <t>Chr 16</t>
  </si>
  <si>
    <t>Chr 17</t>
  </si>
  <si>
    <t>Chr 18</t>
  </si>
  <si>
    <t>Chr 19</t>
  </si>
  <si>
    <t>Chr 20</t>
  </si>
  <si>
    <t>Chr 21</t>
  </si>
  <si>
    <t>Chr 22</t>
  </si>
  <si>
    <t>Chr X</t>
  </si>
  <si>
    <t>Chr Y</t>
  </si>
  <si>
    <t>X</t>
  </si>
  <si>
    <t>Y</t>
  </si>
  <si>
    <t>Case "1"</t>
  </si>
  <si>
    <t>Chromosome_ID = 568815597</t>
  </si>
  <si>
    <t>Case "2"</t>
  </si>
  <si>
    <t>Chromosome_ID = 568815596</t>
  </si>
  <si>
    <t>Case "3"</t>
  </si>
  <si>
    <t>Chromosome_ID = 568815595</t>
  </si>
  <si>
    <t>Case "4"</t>
  </si>
  <si>
    <t>Chromosome_ID = 568815594</t>
  </si>
  <si>
    <t>Case "5"</t>
  </si>
  <si>
    <t>Chromosome_ID = 568815593</t>
  </si>
  <si>
    <t>Case "6"</t>
  </si>
  <si>
    <t>Chromosome_ID = 568815592</t>
  </si>
  <si>
    <t>Case "7"</t>
  </si>
  <si>
    <t>Chromosome_ID = 568815591</t>
  </si>
  <si>
    <t>Case "8"</t>
  </si>
  <si>
    <t>Chromosome_ID = 568815590</t>
  </si>
  <si>
    <t>Case "9"</t>
  </si>
  <si>
    <t>Chromosome_ID = 568815589</t>
  </si>
  <si>
    <t>Case "10"</t>
  </si>
  <si>
    <t>Chromosome_ID = 568815588</t>
  </si>
  <si>
    <t>Case "11"</t>
  </si>
  <si>
    <t>Chromosome_ID = 568815587</t>
  </si>
  <si>
    <t>Case "12"</t>
  </si>
  <si>
    <t>Chromosome_ID = 568815586</t>
  </si>
  <si>
    <t>Case "13"</t>
  </si>
  <si>
    <t>Chromosome_ID = 568815585</t>
  </si>
  <si>
    <t>Case "14"</t>
  </si>
  <si>
    <t>Chromosome_ID = 568815584</t>
  </si>
  <si>
    <t>Case "15"</t>
  </si>
  <si>
    <t>Chromosome_ID = 568815583</t>
  </si>
  <si>
    <t>Case "16"</t>
  </si>
  <si>
    <t>Chromosome_ID = 568815582</t>
  </si>
  <si>
    <t>Case "17"</t>
  </si>
  <si>
    <t>Chromosome_ID = 568815581</t>
  </si>
  <si>
    <t>Case "18"</t>
  </si>
  <si>
    <t>Chromosome_ID = 568815580</t>
  </si>
  <si>
    <t>Case "19"</t>
  </si>
  <si>
    <t>Chromosome_ID = 568815579</t>
  </si>
  <si>
    <t>Case "20"</t>
  </si>
  <si>
    <t>Chromosome_ID = 568815578</t>
  </si>
  <si>
    <t>Case "21"</t>
  </si>
  <si>
    <t>Chromosome_ID = 568815577</t>
  </si>
  <si>
    <t>Case "22"</t>
  </si>
  <si>
    <t>Chromosome_ID = 568815576</t>
  </si>
  <si>
    <t>Case "X"</t>
  </si>
  <si>
    <t>Chromosome_ID = 568815575</t>
  </si>
  <si>
    <t>Case "Y"</t>
  </si>
  <si>
    <t>Chromosome_ID = 568815574</t>
  </si>
  <si>
    <t>https://www.ncbi.nlm.nih.gov/sviewer/viewer.cgi?tool=portal&amp;save=file&amp;log$=seqview&amp;db=nuccore&amp;report=genbank&amp;id=372099109&amp;to=100&amp;</t>
  </si>
  <si>
    <t>https://www.ncbi.nlm.nih.gov/sviewer/viewer.cgi?tool=portal&amp;save=file&amp;log$=seqview&amp;db=nuccore&amp;report=genbank&amp;id=372099108&amp;to=100&amp;</t>
  </si>
  <si>
    <t>https://www.ncbi.nlm.nih.gov/sviewer/viewer.cgi?tool=portal&amp;save=file&amp;log$=seqview&amp;db=nuccore&amp;report=genbank&amp;id=372099107&amp;to=100&amp;</t>
  </si>
  <si>
    <t>https://www.ncbi.nlm.nih.gov/sviewer/viewer.cgi?tool=portal&amp;save=file&amp;log$=seqview&amp;db=nuccore&amp;report=genbank&amp;id=372099106&amp;to=100&amp;</t>
  </si>
  <si>
    <t>https://www.ncbi.nlm.nih.gov/sviewer/viewer.cgi?tool=portal&amp;save=file&amp;log$=seqview&amp;db=nuccore&amp;report=genbank&amp;id=372099105&amp;to=100&amp;</t>
  </si>
  <si>
    <t>https://www.ncbi.nlm.nih.gov/sviewer/viewer.cgi?tool=portal&amp;save=file&amp;log$=seqview&amp;db=nuccore&amp;report=genbank&amp;id=372099104&amp;to=100&amp;</t>
  </si>
  <si>
    <t>https://www.ncbi.nlm.nih.gov/sviewer/viewer.cgi?tool=portal&amp;save=file&amp;log$=seqview&amp;db=nuccore&amp;report=genbank&amp;id=372099103&amp;to=100&amp;</t>
  </si>
  <si>
    <t>https://www.ncbi.nlm.nih.gov/sviewer/viewer.cgi?tool=portal&amp;save=file&amp;log$=seqview&amp;db=nuccore&amp;report=genbank&amp;id=372099102&amp;to=100&amp;</t>
  </si>
  <si>
    <t>https://www.ncbi.nlm.nih.gov/sviewer/viewer.cgi?tool=portal&amp;save=file&amp;log$=seqview&amp;db=nuccore&amp;report=genbank&amp;id=372099101&amp;to=100&amp;</t>
  </si>
  <si>
    <t>https://www.ncbi.nlm.nih.gov/sviewer/viewer.cgi?tool=portal&amp;save=file&amp;log$=seqview&amp;db=nuccore&amp;report=genbank&amp;id=372099100&amp;to=100&amp;</t>
  </si>
  <si>
    <t>https://www.ncbi.nlm.nih.gov/sviewer/viewer.cgi?tool=portal&amp;save=file&amp;log$=seqview&amp;db=nuccore&amp;report=genbank&amp;id=372099099&amp;to=100&amp;</t>
  </si>
  <si>
    <t>https://www.ncbi.nlm.nih.gov/sviewer/viewer.cgi?tool=portal&amp;save=file&amp;log$=seqview&amp;db=nuccore&amp;report=genbank&amp;id=372099098&amp;to=100&amp;</t>
  </si>
  <si>
    <t>https://www.ncbi.nlm.nih.gov/sviewer/viewer.cgi?tool=portal&amp;save=file&amp;log$=seqview&amp;db=nuccore&amp;report=genbank&amp;id=372099097&amp;to=100&amp;</t>
  </si>
  <si>
    <t>https://www.ncbi.nlm.nih.gov/sviewer/viewer.cgi?tool=portal&amp;save=file&amp;log$=seqview&amp;db=nuccore&amp;report=genbank&amp;id=372099096&amp;to=100&amp;</t>
  </si>
  <si>
    <t>https://www.ncbi.nlm.nih.gov/sviewer/viewer.cgi?tool=portal&amp;save=file&amp;log$=seqview&amp;db=nuccore&amp;report=genbank&amp;id=372099095&amp;to=100&amp;</t>
  </si>
  <si>
    <t>https://www.ncbi.nlm.nih.gov/sviewer/viewer.cgi?tool=portal&amp;save=file&amp;log$=seqview&amp;db=nuccore&amp;report=genbank&amp;id=372099094&amp;to=100&amp;</t>
  </si>
  <si>
    <t>https://www.ncbi.nlm.nih.gov/sviewer/viewer.cgi?tool=portal&amp;save=file&amp;log$=seqview&amp;db=nuccore&amp;report=genbank&amp;id=372099093&amp;to=100&amp;</t>
  </si>
  <si>
    <t>https://www.ncbi.nlm.nih.gov/sviewer/viewer.cgi?tool=portal&amp;save=file&amp;log$=seqview&amp;db=nuccore&amp;report=genbank&amp;id=372099092&amp;to=100&amp;</t>
  </si>
  <si>
    <t>https://www.ncbi.nlm.nih.gov/sviewer/viewer.cgi?tool=portal&amp;save=file&amp;log$=seqview&amp;db=nuccore&amp;report=genbank&amp;id=372099091&amp;to=100&amp;</t>
  </si>
  <si>
    <t>https://www.ncbi.nlm.nih.gov/sviewer/viewer.cgi?tool=portal&amp;save=file&amp;log$=seqview&amp;db=nuccore&amp;report=genbank&amp;id=372099090&amp;to=100&amp;</t>
  </si>
  <si>
    <t>https://www.ncbi.nlm.nih.gov/sviewer/viewer.cgi?tool=portal&amp;save=file&amp;log$=seqview&amp;db=nuccore&amp;report=genbank&amp;id=372099089&amp;to=100&amp;</t>
  </si>
  <si>
    <t>Chromosome_ID = 372099109</t>
  </si>
  <si>
    <t>Chromosome_ID = 372099108</t>
  </si>
  <si>
    <t>Chromosome_ID = 372099107</t>
  </si>
  <si>
    <t>Chromosome_ID = 372099106</t>
  </si>
  <si>
    <t>Chromosome_ID = 372099105</t>
  </si>
  <si>
    <t>Chromosome_ID = 372099104</t>
  </si>
  <si>
    <t>Chromosome_ID = 372099103</t>
  </si>
  <si>
    <t>Chromosome_ID = 372099102</t>
  </si>
  <si>
    <t>Chromosome_ID = 372099101</t>
  </si>
  <si>
    <t>Chromosome_ID = 372099100</t>
  </si>
  <si>
    <t>Chromosome_ID = 372099099</t>
  </si>
  <si>
    <t>Chromosome_ID = 372099098</t>
  </si>
  <si>
    <t>Chromosome_ID = 372099097</t>
  </si>
  <si>
    <t>Chromosome_ID = 372099096</t>
  </si>
  <si>
    <t>Chromosome_ID = 372099095</t>
  </si>
  <si>
    <t>Chromosome_ID = 372099094</t>
  </si>
  <si>
    <t>Chromosome_ID = 372099093</t>
  </si>
  <si>
    <t>Chromosome_ID = 372099092</t>
  </si>
  <si>
    <t>Chromosome_ID = 372099091</t>
  </si>
  <si>
    <t>Chromosome_ID = 372099090</t>
  </si>
  <si>
    <t>Chromosome_ID = 372099089</t>
  </si>
  <si>
    <t>CRISPR</t>
  </si>
  <si>
    <t>Fwd</t>
  </si>
  <si>
    <t>Rev</t>
  </si>
  <si>
    <t>Annotated</t>
  </si>
  <si>
    <t>gh1</t>
  </si>
  <si>
    <t>GeCKOv2-LibA-19027</t>
  </si>
  <si>
    <t>CAACGTCTATGACCTCCTAA</t>
  </si>
  <si>
    <t>GeCKOv2-LibA-19028</t>
  </si>
  <si>
    <t>CGCCCATCGTCTGCACCAGC</t>
  </si>
  <si>
    <t>GeCKOv2-LibA-19029</t>
  </si>
  <si>
    <t>GTCATAGACGTTGCTGTCAG</t>
  </si>
  <si>
    <t>GeCKOv2-LibB-19002</t>
  </si>
  <si>
    <t>AGGCCAGCTGGTGCAGACGA</t>
  </si>
  <si>
    <t>GeCKOv2-LibB-19003</t>
  </si>
  <si>
    <t>CTATTCCGACACCCTCCAAC</t>
  </si>
  <si>
    <t>GeCKOv2-LibB-19004</t>
  </si>
  <si>
    <t>CTGTTGTGTTTCCTCCCTGT</t>
  </si>
  <si>
    <t>TKO85k-34841</t>
  </si>
  <si>
    <t>TKO85k-56895</t>
  </si>
  <si>
    <t>GCTGGTGCAGACGATGGGCG</t>
  </si>
  <si>
    <t>TKO85k-79743</t>
  </si>
  <si>
    <t>TGTCAGAGGCGCCGTACACC</t>
  </si>
  <si>
    <t>Developer:</t>
  </si>
  <si>
    <t>Amir Taheri-Ghahfarokhi</t>
  </si>
  <si>
    <t>Email:</t>
  </si>
  <si>
    <t>Amir.Taheri-Ghahfarokhi@AstraZeneca.com</t>
  </si>
  <si>
    <t>Amir.Taheri.Ghahfarokhi@gmail.com</t>
  </si>
  <si>
    <t>https://www.linkedin.com/in/ghahfarokhi/</t>
  </si>
  <si>
    <t>https://github.com/Ghahfarokhi/sgRNA_Annotator</t>
  </si>
  <si>
    <t>GitHub_GeneID_Human</t>
  </si>
  <si>
    <t>GitHub_GeneID_Mouse</t>
  </si>
  <si>
    <t>GitHub_HumanLibsgRNAs</t>
  </si>
  <si>
    <t>GitHub_MouseLibsgRNAs</t>
  </si>
  <si>
    <t>GitHub_Version</t>
  </si>
  <si>
    <t>https://raw.githubusercontent.com/Ghahfarokhi/sgRNA_Annotator/master/Library/GeneID_Human.txt</t>
  </si>
  <si>
    <t>https://raw.githubusercontent.com/Ghahfarokhi/sgRNA_Annotator/master/Library/GeneID_Mouse.txt</t>
  </si>
  <si>
    <t>https://raw.githubusercontent.com/Ghahfarokhi/sgRNA_Annotator/master/Library/HumanLibsgRNAs.txt</t>
  </si>
  <si>
    <t>https://raw.githubusercontent.com/Ghahfarokhi/sgRNA_Annotator/master/Library/MouseLibsgRNAs.txt</t>
  </si>
  <si>
    <t>Contact info:</t>
  </si>
  <si>
    <t>Downloadable files:</t>
  </si>
  <si>
    <t>https://raw.githubusercontent.com/Ghahfarokhi/sgRNA_Annotator/master/Library/Version.txt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</si>
</sst>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11"/>
      <color rgb="FF3F3F76"/>
      <name val="Courier New"/>
      <family val="3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AE5D"/>
        <bgColor indexed="64"/>
      </patternFill>
    </fill>
    <fill>
      <patternFill patternType="solid">
        <fgColor rgb="FFFFECD9"/>
        <bgColor indexed="64"/>
      </patternFill>
    </fill>
    <fill>
      <patternFill patternType="solid">
        <fgColor rgb="FFD5F3DB"/>
        <bgColor indexed="64"/>
      </patternFill>
    </fill>
    <fill>
      <patternFill patternType="solid">
        <fgColor rgb="FFA0E4A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19" fillId="0" borderId="0" applyNumberFormat="0" applyFill="0" applyBorder="0" applyAlignment="0" applyProtection="0"/>
  </cellStyleXfs>
  <cellXfs count="52">
    <xf numFmtId="0" fontId="0" fillId="0" borderId="0" xfId="0"/>
    <xf numFmtId="0" fontId="5" fillId="6" borderId="3" xfId="0" applyFont="1" applyFill="1" applyBorder="1"/>
    <xf numFmtId="0" fontId="0" fillId="6" borderId="6" xfId="0" applyFill="1" applyBorder="1"/>
    <xf numFmtId="0" fontId="5" fillId="6" borderId="5" xfId="0" applyFont="1" applyFill="1" applyBorder="1"/>
    <xf numFmtId="0" fontId="2" fillId="2" borderId="0" xfId="1"/>
    <xf numFmtId="0" fontId="4" fillId="9" borderId="10" xfId="3" applyFill="1" applyBorder="1"/>
    <xf numFmtId="0" fontId="4" fillId="9" borderId="1" xfId="3" applyFill="1"/>
    <xf numFmtId="0" fontId="2" fillId="2" borderId="0" xfId="1" applyAlignment="1">
      <alignment horizontal="center"/>
    </xf>
    <xf numFmtId="0" fontId="11" fillId="3" borderId="9" xfId="2" applyFont="1" applyBorder="1"/>
    <xf numFmtId="0" fontId="0" fillId="5" borderId="2" xfId="4" applyFont="1"/>
    <xf numFmtId="0" fontId="7" fillId="11" borderId="11" xfId="1" applyFont="1" applyFill="1" applyBorder="1"/>
    <xf numFmtId="0" fontId="7" fillId="11" borderId="12" xfId="1" applyFont="1" applyFill="1" applyBorder="1"/>
    <xf numFmtId="0" fontId="8" fillId="8" borderId="13" xfId="3" applyFont="1" applyFill="1" applyBorder="1"/>
    <xf numFmtId="0" fontId="0" fillId="5" borderId="2" xfId="4" applyFont="1" applyAlignment="1">
      <alignment horizontal="center"/>
    </xf>
    <xf numFmtId="0" fontId="7" fillId="11" borderId="12" xfId="1" applyFont="1" applyFill="1" applyBorder="1" applyAlignment="1">
      <alignment horizontal="center"/>
    </xf>
    <xf numFmtId="0" fontId="0" fillId="7" borderId="0" xfId="0" applyFill="1"/>
    <xf numFmtId="0" fontId="12" fillId="9" borderId="14" xfId="3" applyFont="1" applyFill="1" applyBorder="1"/>
    <xf numFmtId="0" fontId="12" fillId="0" borderId="0" xfId="3" applyFont="1" applyFill="1" applyBorder="1" applyAlignment="1">
      <alignment horizontal="left" wrapText="1"/>
    </xf>
    <xf numFmtId="0" fontId="12" fillId="0" borderId="0" xfId="3" applyFont="1" applyFill="1" applyBorder="1"/>
    <xf numFmtId="0" fontId="0" fillId="0" borderId="0" xfId="0" applyFill="1" applyBorder="1"/>
    <xf numFmtId="0" fontId="8" fillId="13" borderId="9" xfId="3" applyFont="1" applyFill="1" applyBorder="1"/>
    <xf numFmtId="0" fontId="13" fillId="0" borderId="0" xfId="0" applyFont="1" applyFill="1" applyBorder="1"/>
    <xf numFmtId="0" fontId="13" fillId="7" borderId="0" xfId="0" applyFont="1" applyFill="1" applyBorder="1"/>
    <xf numFmtId="0" fontId="13" fillId="7" borderId="0" xfId="3" applyFont="1" applyFill="1" applyBorder="1"/>
    <xf numFmtId="0" fontId="13" fillId="7" borderId="0" xfId="1" applyFont="1" applyFill="1" applyBorder="1"/>
    <xf numFmtId="0" fontId="13" fillId="7" borderId="0" xfId="1" applyFont="1" applyFill="1" applyBorder="1" applyAlignment="1">
      <alignment horizontal="center"/>
    </xf>
    <xf numFmtId="0" fontId="4" fillId="0" borderId="17" xfId="3" applyFill="1" applyBorder="1" applyAlignment="1">
      <alignment horizontal="center" vertical="center"/>
    </xf>
    <xf numFmtId="0" fontId="12" fillId="9" borderId="10" xfId="3" applyFont="1" applyFill="1" applyBorder="1"/>
    <xf numFmtId="0" fontId="13" fillId="6" borderId="3" xfId="0" applyFont="1" applyFill="1" applyBorder="1"/>
    <xf numFmtId="0" fontId="13" fillId="6" borderId="4" xfId="0" applyFont="1" applyFill="1" applyBorder="1"/>
    <xf numFmtId="0" fontId="0" fillId="6" borderId="18" xfId="0" applyFill="1" applyBorder="1"/>
    <xf numFmtId="0" fontId="0" fillId="6" borderId="7" xfId="0" applyFill="1" applyBorder="1"/>
    <xf numFmtId="0" fontId="5" fillId="6" borderId="19" xfId="0" applyFont="1" applyFill="1" applyBorder="1" applyAlignment="1">
      <alignment horizontal="left"/>
    </xf>
    <xf numFmtId="0" fontId="5" fillId="6" borderId="20" xfId="0" applyFont="1" applyFill="1" applyBorder="1" applyAlignment="1">
      <alignment horizontal="center"/>
    </xf>
    <xf numFmtId="0" fontId="5" fillId="6" borderId="21" xfId="0" applyFont="1" applyFill="1" applyBorder="1" applyAlignment="1">
      <alignment horizontal="center"/>
    </xf>
    <xf numFmtId="0" fontId="5" fillId="6" borderId="8" xfId="0" applyFont="1" applyFill="1" applyBorder="1" applyAlignment="1">
      <alignment horizontal="left"/>
    </xf>
    <xf numFmtId="0" fontId="5" fillId="6" borderId="4" xfId="0" applyFont="1" applyFill="1" applyBorder="1" applyAlignment="1">
      <alignment horizontal="left"/>
    </xf>
    <xf numFmtId="0" fontId="4" fillId="9" borderId="17" xfId="3" applyFill="1" applyBorder="1" applyAlignment="1">
      <alignment horizontal="center" vertical="center"/>
    </xf>
    <xf numFmtId="0" fontId="8" fillId="8" borderId="11" xfId="3" applyFont="1" applyFill="1" applyBorder="1"/>
    <xf numFmtId="49" fontId="13" fillId="6" borderId="4" xfId="0" applyNumberFormat="1" applyFont="1" applyFill="1" applyBorder="1"/>
    <xf numFmtId="0" fontId="0" fillId="0" borderId="0" xfId="0" applyFill="1"/>
    <xf numFmtId="0" fontId="0" fillId="0" borderId="0" xfId="0" applyAlignment="1">
      <alignment horizontal="left"/>
    </xf>
    <xf numFmtId="0" fontId="19" fillId="0" borderId="0" xfId="5"/>
    <xf numFmtId="0" fontId="6" fillId="12" borderId="0" xfId="0" applyFont="1" applyFill="1" applyAlignment="1">
      <alignment horizontal="center"/>
    </xf>
    <xf numFmtId="0" fontId="4" fillId="9" borderId="15" xfId="3" applyFill="1" applyBorder="1" applyAlignment="1">
      <alignment horizontal="center" vertical="center"/>
    </xf>
    <xf numFmtId="0" fontId="4" fillId="9" borderId="16" xfId="3" applyFill="1" applyBorder="1" applyAlignment="1">
      <alignment horizontal="center" vertical="center"/>
    </xf>
    <xf numFmtId="0" fontId="2" fillId="10" borderId="15" xfId="1" applyFill="1" applyBorder="1" applyAlignment="1">
      <alignment horizontal="center"/>
    </xf>
    <xf numFmtId="0" fontId="2" fillId="10" borderId="17" xfId="1" applyFill="1" applyBorder="1" applyAlignment="1">
      <alignment horizontal="center"/>
    </xf>
    <xf numFmtId="0" fontId="9" fillId="7" borderId="0" xfId="0" applyFont="1" applyFill="1" applyBorder="1" applyAlignment="1">
      <alignment horizontal="left"/>
    </xf>
    <xf numFmtId="0" fontId="10" fillId="7" borderId="0" xfId="0" applyFont="1" applyFill="1" applyAlignment="1">
      <alignment horizontal="left" wrapText="1"/>
    </xf>
    <xf numFmtId="0" fontId="10" fillId="7" borderId="0" xfId="0" applyFont="1" applyFill="1" applyBorder="1" applyAlignment="1">
      <alignment horizontal="left" wrapText="1"/>
    </xf>
    <xf numFmtId="0" fontId="20" fillId="0" borderId="0" xfId="0" applyFont="1"/>
  </cellXfs>
  <cellStyles count="6">
    <cellStyle name="Good" xfId="1" builtinId="26"/>
    <cellStyle name="Hyperlink" xfId="5" builtinId="8"/>
    <cellStyle name="Input" xfId="3" builtinId="20"/>
    <cellStyle name="Neutral" xfId="2" builtinId="28"/>
    <cellStyle name="Normal" xfId="0" builtinId="0"/>
    <cellStyle name="Note" xfId="4" builtinId="10"/>
  </cellStyles>
  <dxfs count="0"/>
  <tableStyles count="0" defaultTableStyle="TableStyleMedium2" defaultPivotStyle="PivotStyleLight16"/>
  <colors>
    <mruColors>
      <color rgb="FFA0E4AD"/>
      <color rgb="FF40C85A"/>
      <color rgb="FFD5F3DB"/>
      <color rgb="FFFFAE5D"/>
      <color rgb="FFFFEC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0</xdr:row>
          <xdr:rowOff>76200</xdr:rowOff>
        </xdr:from>
        <xdr:to>
          <xdr:col>2</xdr:col>
          <xdr:colOff>1390650</xdr:colOff>
          <xdr:row>4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sgRNAs from Litrature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76200</xdr:rowOff>
        </xdr:from>
        <xdr:to>
          <xdr:col>3</xdr:col>
          <xdr:colOff>1419225</xdr:colOff>
          <xdr:row>4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.gb file</a:t>
              </a: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19</xdr:row>
          <xdr:rowOff>161925</xdr:rowOff>
        </xdr:from>
        <xdr:to>
          <xdr:col>10</xdr:col>
          <xdr:colOff>38100</xdr:colOff>
          <xdr:row>23</xdr:row>
          <xdr:rowOff>95250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Dual-sgRNA combinations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76200</xdr:rowOff>
        </xdr:from>
        <xdr:to>
          <xdr:col>7</xdr:col>
          <xdr:colOff>0</xdr:colOff>
          <xdr:row>4</xdr:row>
          <xdr:rowOff>123825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Don't have the .gb file?</a:t>
              </a:r>
              <a:endParaRPr lang="sv-S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sv-S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RefSeq file </a:t>
              </a:r>
            </a:p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NCBI 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25</xdr:row>
          <xdr:rowOff>9525</xdr:rowOff>
        </xdr:from>
        <xdr:to>
          <xdr:col>9</xdr:col>
          <xdr:colOff>238125</xdr:colOff>
          <xdr:row>29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21D060AC-16C2-48DF-9695-3CD8310EA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if update is avaiable!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raw.githubusercontent.com/Ghahfarokhi/sgRNA_Annotator/master/Library/MouseLibsgRNAs.txt" TargetMode="External"/><Relationship Id="rId3" Type="http://schemas.openxmlformats.org/officeDocument/2006/relationships/hyperlink" Target="https://www.linkedin.com/in/ghahfarokhi/" TargetMode="External"/><Relationship Id="rId7" Type="http://schemas.openxmlformats.org/officeDocument/2006/relationships/hyperlink" Target="https://raw.githubusercontent.com/Ghahfarokhi/sgRNA_Annotator/master/Library/HumanLibsgRNAs.txt" TargetMode="External"/><Relationship Id="rId2" Type="http://schemas.openxmlformats.org/officeDocument/2006/relationships/hyperlink" Target="mailto:Amir.Taheri.Ghahfarokhi@gmail.com" TargetMode="External"/><Relationship Id="rId1" Type="http://schemas.openxmlformats.org/officeDocument/2006/relationships/hyperlink" Target="mailto:Amir.Taheri-Ghahfarokhi@AstraZeneca.com" TargetMode="External"/><Relationship Id="rId6" Type="http://schemas.openxmlformats.org/officeDocument/2006/relationships/hyperlink" Target="https://raw.githubusercontent.com/Ghahfarokhi/sgRNA_Annotator/master/Library/GeneID_Human.txt" TargetMode="External"/><Relationship Id="rId5" Type="http://schemas.openxmlformats.org/officeDocument/2006/relationships/hyperlink" Target="https://raw.githubusercontent.com/Ghahfarokhi/sgRNA_Annotator/master/Library/GeneID_Mouse.txt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github.com/Ghahfarokhi/sgRNA_Annotator" TargetMode="External"/><Relationship Id="rId9" Type="http://schemas.openxmlformats.org/officeDocument/2006/relationships/hyperlink" Target="https://raw.githubusercontent.com/Ghahfarokhi/sgRNA_Annotator/master/Library/Version.tx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28"/>
  <sheetViews>
    <sheetView tabSelected="1" workbookViewId="0">
      <selection activeCell="F19" sqref="F19"/>
    </sheetView>
  </sheetViews>
  <sheetFormatPr defaultRowHeight="15" x14ac:dyDescent="0.25"/>
  <cols>
    <col min="1" max="1" width="21.7109375" style="19" customWidth="1"/>
    <col min="2" max="2" width="30.28515625" style="16" customWidth="1"/>
    <col min="3" max="4" width="21.42578125" style="6" customWidth="1"/>
    <col min="5" max="5" width="10.140625" style="4" customWidth="1"/>
    <col min="6" max="6" width="12.7109375" style="4" customWidth="1"/>
    <col min="7" max="7" width="11" style="7" customWidth="1"/>
    <col min="8" max="8" width="9.85546875" style="15" customWidth="1"/>
    <col min="9" max="9" width="20.42578125" style="15" customWidth="1"/>
    <col min="10" max="10" width="6.5703125" style="15" customWidth="1"/>
    <col min="11" max="11" width="10.85546875" style="15" customWidth="1"/>
    <col min="12" max="12" width="11.85546875" customWidth="1"/>
    <col min="13" max="13" width="11.140625" customWidth="1"/>
    <col min="14" max="14" width="14.85546875" customWidth="1"/>
    <col min="15" max="15" width="14.7109375" customWidth="1"/>
    <col min="16" max="16" width="18.42578125" customWidth="1"/>
    <col min="17" max="20" width="9.140625" style="15"/>
  </cols>
  <sheetData>
    <row r="1" spans="1:20" ht="15.75" thickBot="1" x14ac:dyDescent="0.3">
      <c r="A1" s="22"/>
      <c r="B1" s="22"/>
      <c r="C1" s="22"/>
      <c r="D1" s="22"/>
      <c r="E1" s="22"/>
      <c r="F1" s="22"/>
      <c r="G1" s="22"/>
      <c r="H1" s="22"/>
      <c r="I1" s="22"/>
      <c r="L1" s="22"/>
      <c r="M1" s="22"/>
      <c r="N1" s="22"/>
      <c r="O1" s="22"/>
      <c r="P1" s="22"/>
      <c r="Q1" s="22"/>
    </row>
    <row r="2" spans="1:20" ht="15.75" thickBot="1" x14ac:dyDescent="0.3">
      <c r="A2" s="28" t="s">
        <v>17</v>
      </c>
      <c r="B2" s="39" t="s">
        <v>174</v>
      </c>
      <c r="C2" s="22"/>
      <c r="D2" s="22"/>
      <c r="E2" s="22"/>
      <c r="F2" s="22"/>
      <c r="G2" s="22"/>
      <c r="H2" s="22"/>
      <c r="I2" s="22"/>
      <c r="L2" s="22"/>
      <c r="M2" s="22"/>
      <c r="N2" s="22"/>
      <c r="O2" s="22"/>
      <c r="P2" s="22"/>
      <c r="Q2" s="22"/>
    </row>
    <row r="3" spans="1:20" ht="15.75" thickBot="1" x14ac:dyDescent="0.3">
      <c r="A3" s="28" t="s">
        <v>18</v>
      </c>
      <c r="B3" s="29" t="s">
        <v>27</v>
      </c>
      <c r="C3" s="22"/>
      <c r="D3" s="22"/>
      <c r="E3" s="22"/>
      <c r="F3" s="22"/>
      <c r="G3" s="22"/>
      <c r="I3" s="22"/>
      <c r="L3" s="22"/>
      <c r="M3" s="22"/>
      <c r="N3" s="22"/>
      <c r="O3" s="22"/>
      <c r="P3" s="22"/>
      <c r="Q3" s="22"/>
    </row>
    <row r="4" spans="1:20" s="21" customFormat="1" x14ac:dyDescent="0.25">
      <c r="A4" s="22"/>
      <c r="B4" s="22"/>
      <c r="C4" s="22"/>
      <c r="D4" s="22"/>
      <c r="E4" s="22"/>
      <c r="F4" s="22"/>
      <c r="G4" s="22"/>
      <c r="I4" s="15" t="s">
        <v>19</v>
      </c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</row>
    <row r="5" spans="1:20" s="21" customFormat="1" x14ac:dyDescent="0.25">
      <c r="A5" s="22"/>
      <c r="B5" s="23"/>
      <c r="C5" s="23"/>
      <c r="D5" s="23"/>
      <c r="E5" s="24"/>
      <c r="F5" s="24"/>
      <c r="G5" s="25"/>
      <c r="H5" s="22"/>
      <c r="I5" s="15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</row>
    <row r="6" spans="1:20" x14ac:dyDescent="0.25">
      <c r="A6" s="26" t="s">
        <v>15</v>
      </c>
      <c r="B6" s="44" t="s">
        <v>7</v>
      </c>
      <c r="C6" s="45"/>
      <c r="D6" s="37"/>
      <c r="E6" s="46" t="s">
        <v>9</v>
      </c>
      <c r="F6" s="47"/>
      <c r="G6" s="47"/>
      <c r="L6" s="43" t="s">
        <v>11</v>
      </c>
      <c r="M6" s="43"/>
      <c r="N6" s="43"/>
      <c r="O6" s="43"/>
      <c r="P6" s="43"/>
    </row>
    <row r="7" spans="1:20" ht="16.5" thickBot="1" x14ac:dyDescent="0.3">
      <c r="A7" s="20" t="s">
        <v>16</v>
      </c>
      <c r="B7" s="12" t="s">
        <v>12</v>
      </c>
      <c r="C7" s="12" t="s">
        <v>0</v>
      </c>
      <c r="D7" s="38" t="s">
        <v>29</v>
      </c>
      <c r="E7" s="10" t="s">
        <v>1</v>
      </c>
      <c r="F7" s="11" t="s">
        <v>2</v>
      </c>
      <c r="G7" s="14" t="s">
        <v>8</v>
      </c>
      <c r="I7" s="48" t="s">
        <v>10</v>
      </c>
      <c r="J7" s="48"/>
      <c r="L7" s="8" t="s">
        <v>4</v>
      </c>
      <c r="M7" s="8" t="s">
        <v>5</v>
      </c>
      <c r="N7" s="8" t="s">
        <v>6</v>
      </c>
      <c r="O7" s="8" t="s">
        <v>13</v>
      </c>
      <c r="P7" s="8" t="s">
        <v>14</v>
      </c>
    </row>
    <row r="8" spans="1:20" ht="15" customHeight="1" x14ac:dyDescent="0.25">
      <c r="A8" s="17" t="s">
        <v>175</v>
      </c>
      <c r="B8" s="27" t="s">
        <v>176</v>
      </c>
      <c r="C8" s="5" t="s">
        <v>170</v>
      </c>
      <c r="D8" s="6" t="s">
        <v>170</v>
      </c>
      <c r="E8" s="4" t="s">
        <v>171</v>
      </c>
      <c r="F8" s="4" t="s">
        <v>173</v>
      </c>
      <c r="G8" s="7">
        <v>1055</v>
      </c>
      <c r="I8" s="33" t="s">
        <v>3</v>
      </c>
      <c r="L8" s="9"/>
      <c r="M8" s="9"/>
      <c r="N8" s="13"/>
      <c r="O8" s="9"/>
      <c r="P8" s="9"/>
    </row>
    <row r="9" spans="1:20" ht="15" customHeight="1" thickBot="1" x14ac:dyDescent="0.3">
      <c r="A9" s="17" t="s">
        <v>177</v>
      </c>
      <c r="B9" s="27" t="s">
        <v>178</v>
      </c>
      <c r="C9" s="5" t="s">
        <v>170</v>
      </c>
      <c r="D9" s="6" t="s">
        <v>170</v>
      </c>
      <c r="E9" s="4" t="s">
        <v>171</v>
      </c>
      <c r="F9" s="4" t="s">
        <v>173</v>
      </c>
      <c r="G9" s="7">
        <v>478</v>
      </c>
      <c r="I9" s="34">
        <f>COUNTA(B8:B1006)</f>
        <v>9</v>
      </c>
      <c r="L9" s="9"/>
      <c r="M9" s="9"/>
      <c r="N9" s="13"/>
      <c r="O9" s="9"/>
      <c r="P9" s="9"/>
    </row>
    <row r="10" spans="1:20" ht="15" customHeight="1" x14ac:dyDescent="0.25">
      <c r="A10" s="17" t="s">
        <v>179</v>
      </c>
      <c r="B10" s="27" t="s">
        <v>180</v>
      </c>
      <c r="C10" s="5" t="s">
        <v>170</v>
      </c>
      <c r="D10" s="6" t="s">
        <v>170</v>
      </c>
      <c r="E10" s="4" t="s">
        <v>172</v>
      </c>
      <c r="F10" s="4" t="s">
        <v>173</v>
      </c>
      <c r="G10" s="7">
        <v>1034</v>
      </c>
      <c r="I10" s="49" t="s">
        <v>20</v>
      </c>
      <c r="J10" s="49"/>
      <c r="L10" s="9"/>
      <c r="M10" s="9"/>
      <c r="N10" s="13"/>
      <c r="O10" s="9"/>
      <c r="P10" s="9"/>
    </row>
    <row r="11" spans="1:20" ht="15" customHeight="1" x14ac:dyDescent="0.25">
      <c r="A11" s="17" t="s">
        <v>181</v>
      </c>
      <c r="B11" s="27" t="s">
        <v>182</v>
      </c>
      <c r="C11" s="5" t="s">
        <v>170</v>
      </c>
      <c r="D11" s="6" t="s">
        <v>170</v>
      </c>
      <c r="E11" s="4" t="s">
        <v>172</v>
      </c>
      <c r="F11" s="4" t="s">
        <v>173</v>
      </c>
      <c r="G11" s="7">
        <v>470</v>
      </c>
      <c r="I11" s="49"/>
      <c r="J11" s="49"/>
      <c r="L11" s="9"/>
      <c r="M11" s="9"/>
      <c r="N11" s="13"/>
      <c r="O11" s="9"/>
      <c r="P11" s="9"/>
    </row>
    <row r="12" spans="1:20" ht="15" customHeight="1" thickBot="1" x14ac:dyDescent="0.3">
      <c r="A12" s="17" t="s">
        <v>183</v>
      </c>
      <c r="B12" s="27" t="s">
        <v>184</v>
      </c>
      <c r="C12" s="5" t="s">
        <v>170</v>
      </c>
      <c r="D12" s="6" t="s">
        <v>170</v>
      </c>
      <c r="E12" s="4" t="s">
        <v>171</v>
      </c>
      <c r="F12" s="4" t="s">
        <v>173</v>
      </c>
      <c r="G12" s="7">
        <v>809</v>
      </c>
      <c r="I12" s="50"/>
      <c r="J12" s="50"/>
      <c r="L12" s="9"/>
      <c r="M12" s="9"/>
      <c r="N12" s="13"/>
      <c r="O12" s="9"/>
      <c r="P12" s="9"/>
    </row>
    <row r="13" spans="1:20" ht="15" customHeight="1" x14ac:dyDescent="0.25">
      <c r="A13" s="17" t="s">
        <v>185</v>
      </c>
      <c r="B13" s="27" t="s">
        <v>186</v>
      </c>
      <c r="C13" s="5" t="s">
        <v>170</v>
      </c>
      <c r="D13" s="6" t="s">
        <v>170</v>
      </c>
      <c r="E13" s="4" t="s">
        <v>172</v>
      </c>
      <c r="F13" s="4" t="s">
        <v>173</v>
      </c>
      <c r="G13" s="7">
        <v>813</v>
      </c>
      <c r="I13" s="3" t="s">
        <v>22</v>
      </c>
      <c r="J13" s="2"/>
      <c r="L13" s="9"/>
      <c r="M13" s="9"/>
      <c r="N13" s="13"/>
      <c r="O13" s="9"/>
      <c r="P13" s="9"/>
    </row>
    <row r="14" spans="1:20" ht="15" customHeight="1" x14ac:dyDescent="0.25">
      <c r="A14" s="17" t="s">
        <v>187</v>
      </c>
      <c r="B14" s="27" t="s">
        <v>178</v>
      </c>
      <c r="C14" s="5" t="s">
        <v>170</v>
      </c>
      <c r="D14" s="6" t="s">
        <v>170</v>
      </c>
      <c r="E14" s="4" t="s">
        <v>171</v>
      </c>
      <c r="F14" s="4" t="s">
        <v>173</v>
      </c>
      <c r="G14" s="7">
        <v>478</v>
      </c>
      <c r="I14" s="30" t="s">
        <v>23</v>
      </c>
      <c r="J14" s="32">
        <v>30</v>
      </c>
      <c r="L14" s="9"/>
      <c r="M14" s="9"/>
      <c r="N14" s="13"/>
      <c r="O14" s="9"/>
      <c r="P14" s="9"/>
    </row>
    <row r="15" spans="1:20" ht="15" customHeight="1" x14ac:dyDescent="0.25">
      <c r="A15" s="17" t="s">
        <v>188</v>
      </c>
      <c r="B15" s="27" t="s">
        <v>189</v>
      </c>
      <c r="C15" s="5" t="s">
        <v>170</v>
      </c>
      <c r="D15" s="6" t="s">
        <v>170</v>
      </c>
      <c r="E15" s="4" t="s">
        <v>172</v>
      </c>
      <c r="F15" s="4" t="s">
        <v>173</v>
      </c>
      <c r="G15" s="7">
        <v>464</v>
      </c>
      <c r="I15" s="30" t="s">
        <v>24</v>
      </c>
      <c r="J15" s="32">
        <v>30</v>
      </c>
      <c r="L15" s="9"/>
      <c r="M15" s="9"/>
      <c r="N15" s="13"/>
      <c r="O15" s="9"/>
      <c r="P15" s="9"/>
    </row>
    <row r="16" spans="1:20" ht="15" customHeight="1" x14ac:dyDescent="0.25">
      <c r="A16" s="17" t="s">
        <v>190</v>
      </c>
      <c r="B16" s="27" t="s">
        <v>191</v>
      </c>
      <c r="C16" s="5" t="s">
        <v>170</v>
      </c>
      <c r="D16" s="6" t="s">
        <v>170</v>
      </c>
      <c r="E16" s="4" t="s">
        <v>172</v>
      </c>
      <c r="F16" s="4" t="s">
        <v>173</v>
      </c>
      <c r="G16" s="7">
        <v>1020</v>
      </c>
      <c r="I16" s="30" t="s">
        <v>25</v>
      </c>
      <c r="J16" s="32">
        <v>20</v>
      </c>
      <c r="L16" s="9"/>
      <c r="M16" s="9"/>
      <c r="N16" s="13"/>
      <c r="O16" s="9"/>
      <c r="P16" s="9"/>
    </row>
    <row r="17" spans="1:16" ht="15" customHeight="1" thickBot="1" x14ac:dyDescent="0.3">
      <c r="A17" s="17"/>
      <c r="B17" s="27"/>
      <c r="C17" s="5"/>
      <c r="I17" s="31" t="s">
        <v>26</v>
      </c>
      <c r="J17" s="35">
        <v>45</v>
      </c>
      <c r="L17" s="9"/>
      <c r="M17" s="9"/>
      <c r="N17" s="13"/>
      <c r="O17" s="9"/>
      <c r="P17" s="9"/>
    </row>
    <row r="18" spans="1:16" ht="15" customHeight="1" thickBot="1" x14ac:dyDescent="0.3">
      <c r="A18" s="17"/>
      <c r="B18" s="27"/>
      <c r="C18" s="5"/>
      <c r="L18" s="9"/>
      <c r="M18" s="9"/>
      <c r="N18" s="13"/>
      <c r="O18" s="9"/>
      <c r="P18" s="9"/>
    </row>
    <row r="19" spans="1:16" ht="15" customHeight="1" thickBot="1" x14ac:dyDescent="0.3">
      <c r="A19" s="17"/>
      <c r="B19" s="27"/>
      <c r="C19" s="5"/>
      <c r="I19" s="1" t="s">
        <v>21</v>
      </c>
      <c r="J19" s="36">
        <v>100</v>
      </c>
      <c r="L19" s="9"/>
      <c r="M19" s="9"/>
      <c r="N19" s="13"/>
      <c r="O19" s="9"/>
      <c r="P19" s="9"/>
    </row>
    <row r="20" spans="1:16" ht="15" customHeight="1" x14ac:dyDescent="0.25">
      <c r="A20" s="17"/>
      <c r="B20" s="27"/>
      <c r="C20" s="5"/>
      <c r="L20" s="9"/>
      <c r="M20" s="9"/>
      <c r="N20" s="13"/>
      <c r="O20" s="9"/>
      <c r="P20" s="9"/>
    </row>
    <row r="21" spans="1:16" ht="15" customHeight="1" x14ac:dyDescent="0.25">
      <c r="A21" s="17"/>
      <c r="B21" s="27"/>
      <c r="C21" s="5"/>
      <c r="L21" s="9"/>
      <c r="M21" s="9"/>
      <c r="N21" s="13"/>
      <c r="O21" s="9"/>
      <c r="P21" s="9"/>
    </row>
    <row r="22" spans="1:16" ht="15" customHeight="1" x14ac:dyDescent="0.25">
      <c r="A22" s="17"/>
      <c r="B22" s="27"/>
      <c r="C22" s="5"/>
      <c r="L22" s="9"/>
      <c r="M22" s="9"/>
      <c r="N22" s="13"/>
      <c r="O22" s="9"/>
      <c r="P22" s="9"/>
    </row>
    <row r="23" spans="1:16" ht="15" customHeight="1" x14ac:dyDescent="0.25">
      <c r="A23" s="18"/>
      <c r="B23" s="27"/>
      <c r="L23" s="9"/>
      <c r="M23" s="9"/>
      <c r="N23" s="13"/>
      <c r="O23" s="9"/>
      <c r="P23" s="9"/>
    </row>
    <row r="24" spans="1:16" ht="15" customHeight="1" x14ac:dyDescent="0.25">
      <c r="A24" s="18"/>
      <c r="B24" s="27"/>
      <c r="L24" s="9"/>
      <c r="M24" s="9"/>
      <c r="N24" s="13"/>
      <c r="O24" s="9"/>
      <c r="P24" s="9"/>
    </row>
    <row r="25" spans="1:16" x14ac:dyDescent="0.25">
      <c r="A25" s="18"/>
      <c r="B25" s="27"/>
      <c r="L25" s="9"/>
      <c r="M25" s="9"/>
      <c r="N25" s="13"/>
      <c r="O25" s="9"/>
      <c r="P25" s="9"/>
    </row>
    <row r="26" spans="1:16" x14ac:dyDescent="0.25">
      <c r="A26" s="18"/>
      <c r="B26" s="27"/>
      <c r="L26" s="9"/>
      <c r="M26" s="9"/>
      <c r="N26" s="13"/>
      <c r="O26" s="9"/>
      <c r="P26" s="9"/>
    </row>
    <row r="27" spans="1:16" x14ac:dyDescent="0.25">
      <c r="A27" s="18"/>
      <c r="B27" s="27"/>
      <c r="L27" s="9"/>
      <c r="M27" s="9"/>
      <c r="N27" s="13"/>
      <c r="O27" s="9"/>
      <c r="P27" s="9"/>
    </row>
    <row r="28" spans="1:16" x14ac:dyDescent="0.25">
      <c r="A28" s="18"/>
      <c r="B28" s="27"/>
      <c r="L28" s="9"/>
      <c r="M28" s="9"/>
      <c r="N28" s="13"/>
      <c r="O28" s="9"/>
      <c r="P28" s="9"/>
    </row>
    <row r="29" spans="1:16" x14ac:dyDescent="0.25">
      <c r="A29" s="18"/>
      <c r="B29" s="27"/>
      <c r="L29" s="9"/>
      <c r="M29" s="9"/>
      <c r="N29" s="13"/>
      <c r="O29" s="9"/>
      <c r="P29" s="9"/>
    </row>
    <row r="30" spans="1:16" x14ac:dyDescent="0.25">
      <c r="A30" s="18"/>
      <c r="B30" s="27"/>
      <c r="L30" s="9"/>
      <c r="M30" s="9"/>
      <c r="N30" s="13"/>
      <c r="O30" s="9"/>
      <c r="P30" s="9"/>
    </row>
    <row r="31" spans="1:16" x14ac:dyDescent="0.25">
      <c r="A31" s="18"/>
      <c r="B31" s="27"/>
      <c r="L31" s="9"/>
      <c r="M31" s="9"/>
      <c r="N31" s="13"/>
      <c r="O31" s="9"/>
      <c r="P31" s="9"/>
    </row>
    <row r="32" spans="1:16" x14ac:dyDescent="0.25">
      <c r="A32" s="18"/>
      <c r="B32" s="27"/>
      <c r="L32" s="9"/>
      <c r="M32" s="9"/>
      <c r="N32" s="13"/>
      <c r="O32" s="9"/>
      <c r="P32" s="9"/>
    </row>
    <row r="33" spans="1:16" x14ac:dyDescent="0.25">
      <c r="A33" s="18"/>
      <c r="B33" s="27"/>
      <c r="L33" s="9"/>
      <c r="M33" s="9"/>
      <c r="N33" s="13"/>
      <c r="O33" s="9"/>
      <c r="P33" s="9"/>
    </row>
    <row r="34" spans="1:16" x14ac:dyDescent="0.25">
      <c r="A34" s="18"/>
      <c r="B34" s="27"/>
      <c r="L34" s="9"/>
      <c r="M34" s="9"/>
      <c r="N34" s="13"/>
      <c r="O34" s="9"/>
      <c r="P34" s="9"/>
    </row>
    <row r="35" spans="1:16" x14ac:dyDescent="0.25">
      <c r="A35" s="18"/>
      <c r="B35" s="27"/>
      <c r="L35" s="9"/>
      <c r="M35" s="9"/>
      <c r="N35" s="13"/>
      <c r="O35" s="9"/>
      <c r="P35" s="9"/>
    </row>
    <row r="36" spans="1:16" x14ac:dyDescent="0.25">
      <c r="A36" s="18"/>
      <c r="B36" s="27"/>
      <c r="L36" s="9"/>
      <c r="M36" s="9"/>
      <c r="N36" s="13"/>
      <c r="O36" s="9"/>
      <c r="P36" s="9"/>
    </row>
    <row r="37" spans="1:16" x14ac:dyDescent="0.25">
      <c r="A37" s="18"/>
      <c r="B37" s="27"/>
      <c r="L37" s="9"/>
      <c r="M37" s="9"/>
      <c r="N37" s="13"/>
      <c r="O37" s="9"/>
      <c r="P37" s="9"/>
    </row>
    <row r="38" spans="1:16" x14ac:dyDescent="0.25">
      <c r="A38" s="18"/>
      <c r="B38" s="27"/>
      <c r="L38" s="9"/>
      <c r="M38" s="9"/>
      <c r="N38" s="13"/>
      <c r="O38" s="9"/>
      <c r="P38" s="9"/>
    </row>
    <row r="39" spans="1:16" x14ac:dyDescent="0.25">
      <c r="A39" s="18"/>
      <c r="B39" s="27"/>
      <c r="L39" s="9"/>
      <c r="M39" s="9"/>
      <c r="N39" s="13"/>
      <c r="O39" s="9"/>
      <c r="P39" s="9"/>
    </row>
    <row r="40" spans="1:16" x14ac:dyDescent="0.25">
      <c r="A40" s="18"/>
      <c r="B40" s="27"/>
      <c r="L40" s="9"/>
      <c r="M40" s="9"/>
      <c r="N40" s="13"/>
      <c r="O40" s="9"/>
      <c r="P40" s="9"/>
    </row>
    <row r="41" spans="1:16" x14ac:dyDescent="0.25">
      <c r="A41" s="18"/>
      <c r="B41" s="27"/>
      <c r="L41" s="9"/>
      <c r="M41" s="9"/>
      <c r="N41" s="13"/>
      <c r="O41" s="9"/>
      <c r="P41" s="9"/>
    </row>
    <row r="42" spans="1:16" x14ac:dyDescent="0.25">
      <c r="A42" s="18"/>
      <c r="B42" s="27"/>
      <c r="L42" s="9"/>
      <c r="M42" s="9"/>
      <c r="N42" s="13"/>
      <c r="O42" s="9"/>
      <c r="P42" s="9"/>
    </row>
    <row r="43" spans="1:16" x14ac:dyDescent="0.25">
      <c r="A43" s="18"/>
      <c r="B43" s="27"/>
      <c r="L43" s="9"/>
      <c r="M43" s="9"/>
      <c r="N43" s="13"/>
      <c r="O43" s="9"/>
      <c r="P43" s="9"/>
    </row>
    <row r="44" spans="1:16" x14ac:dyDescent="0.25">
      <c r="A44" s="18"/>
      <c r="B44" s="27"/>
      <c r="L44" s="9"/>
      <c r="M44" s="9"/>
      <c r="N44" s="13"/>
      <c r="O44" s="9"/>
      <c r="P44" s="9"/>
    </row>
    <row r="45" spans="1:16" x14ac:dyDescent="0.25">
      <c r="A45" s="18"/>
      <c r="B45" s="27"/>
      <c r="L45" s="9"/>
      <c r="M45" s="9"/>
      <c r="N45" s="13"/>
      <c r="O45" s="9"/>
      <c r="P45" s="9"/>
    </row>
    <row r="46" spans="1:16" x14ac:dyDescent="0.25">
      <c r="A46" s="18"/>
      <c r="B46" s="27"/>
      <c r="L46" s="9"/>
      <c r="M46" s="9"/>
      <c r="N46" s="13"/>
      <c r="O46" s="9"/>
      <c r="P46" s="9"/>
    </row>
    <row r="47" spans="1:16" x14ac:dyDescent="0.25">
      <c r="A47" s="18"/>
      <c r="B47" s="27"/>
      <c r="L47" s="9"/>
      <c r="M47" s="9"/>
      <c r="N47" s="13"/>
      <c r="O47" s="9"/>
      <c r="P47" s="9"/>
    </row>
    <row r="48" spans="1:16" x14ac:dyDescent="0.25">
      <c r="A48" s="18"/>
      <c r="B48" s="27"/>
      <c r="L48" s="9"/>
      <c r="M48" s="9"/>
      <c r="N48" s="13"/>
      <c r="O48" s="9"/>
      <c r="P48" s="9"/>
    </row>
    <row r="49" spans="1:16" x14ac:dyDescent="0.25">
      <c r="A49" s="18"/>
      <c r="B49" s="27"/>
      <c r="L49" s="9"/>
      <c r="M49" s="9"/>
      <c r="N49" s="13"/>
      <c r="O49" s="9"/>
      <c r="P49" s="9"/>
    </row>
    <row r="50" spans="1:16" x14ac:dyDescent="0.25">
      <c r="A50" s="18"/>
      <c r="B50" s="27"/>
      <c r="L50" s="9"/>
      <c r="M50" s="9"/>
      <c r="N50" s="13"/>
      <c r="O50" s="9"/>
      <c r="P50" s="9"/>
    </row>
    <row r="51" spans="1:16" x14ac:dyDescent="0.25">
      <c r="A51" s="18"/>
      <c r="B51" s="27"/>
      <c r="L51" s="9"/>
      <c r="M51" s="9"/>
      <c r="N51" s="13"/>
      <c r="O51" s="9"/>
      <c r="P51" s="9"/>
    </row>
    <row r="52" spans="1:16" x14ac:dyDescent="0.25">
      <c r="A52" s="18"/>
      <c r="B52" s="27"/>
      <c r="L52" s="9"/>
      <c r="M52" s="9"/>
      <c r="N52" s="13"/>
      <c r="O52" s="9"/>
      <c r="P52" s="9"/>
    </row>
    <row r="53" spans="1:16" x14ac:dyDescent="0.25">
      <c r="A53" s="18"/>
      <c r="B53" s="27"/>
      <c r="L53" s="9"/>
      <c r="M53" s="9"/>
      <c r="N53" s="13"/>
      <c r="O53" s="9"/>
      <c r="P53" s="9"/>
    </row>
    <row r="54" spans="1:16" x14ac:dyDescent="0.25">
      <c r="A54" s="18"/>
      <c r="B54" s="27"/>
      <c r="L54" s="9"/>
      <c r="M54" s="9"/>
      <c r="N54" s="13"/>
      <c r="O54" s="9"/>
      <c r="P54" s="9"/>
    </row>
    <row r="55" spans="1:16" x14ac:dyDescent="0.25">
      <c r="A55" s="18"/>
      <c r="B55" s="27"/>
      <c r="L55" s="9"/>
      <c r="M55" s="9"/>
      <c r="N55" s="13"/>
      <c r="O55" s="9"/>
      <c r="P55" s="9"/>
    </row>
    <row r="56" spans="1:16" x14ac:dyDescent="0.25">
      <c r="A56" s="18"/>
      <c r="B56" s="27"/>
      <c r="L56" s="9"/>
      <c r="M56" s="9"/>
      <c r="N56" s="13"/>
      <c r="O56" s="9"/>
      <c r="P56" s="9"/>
    </row>
    <row r="57" spans="1:16" x14ac:dyDescent="0.25">
      <c r="A57" s="18"/>
      <c r="B57" s="27"/>
      <c r="L57" s="9"/>
      <c r="M57" s="9"/>
      <c r="N57" s="13"/>
      <c r="O57" s="9"/>
      <c r="P57" s="9"/>
    </row>
    <row r="58" spans="1:16" x14ac:dyDescent="0.25">
      <c r="A58" s="18"/>
      <c r="B58" s="27"/>
      <c r="L58" s="9"/>
      <c r="M58" s="9"/>
      <c r="N58" s="13"/>
      <c r="O58" s="9"/>
      <c r="P58" s="9"/>
    </row>
    <row r="59" spans="1:16" x14ac:dyDescent="0.25">
      <c r="A59" s="18"/>
      <c r="B59" s="27"/>
      <c r="L59" s="9"/>
      <c r="M59" s="9"/>
      <c r="N59" s="13"/>
      <c r="O59" s="9"/>
      <c r="P59" s="9"/>
    </row>
    <row r="60" spans="1:16" x14ac:dyDescent="0.25">
      <c r="A60" s="18"/>
      <c r="B60" s="27"/>
      <c r="L60" s="9"/>
      <c r="M60" s="9"/>
      <c r="N60" s="13"/>
      <c r="O60" s="9"/>
      <c r="P60" s="9"/>
    </row>
    <row r="61" spans="1:16" x14ac:dyDescent="0.25">
      <c r="A61" s="18"/>
      <c r="B61" s="27"/>
      <c r="L61" s="9"/>
      <c r="M61" s="9"/>
      <c r="N61" s="13"/>
      <c r="O61" s="9"/>
      <c r="P61" s="9"/>
    </row>
    <row r="62" spans="1:16" x14ac:dyDescent="0.25">
      <c r="A62" s="18"/>
      <c r="B62" s="27"/>
      <c r="L62" s="9"/>
      <c r="M62" s="9"/>
      <c r="N62" s="13"/>
      <c r="O62" s="9"/>
      <c r="P62" s="9"/>
    </row>
    <row r="63" spans="1:16" x14ac:dyDescent="0.25">
      <c r="A63" s="18"/>
      <c r="B63" s="27"/>
      <c r="L63" s="9"/>
      <c r="M63" s="9"/>
      <c r="N63" s="13"/>
      <c r="O63" s="9"/>
      <c r="P63" s="9"/>
    </row>
    <row r="64" spans="1:16" x14ac:dyDescent="0.25">
      <c r="A64" s="18"/>
      <c r="B64" s="27"/>
      <c r="L64" s="9"/>
      <c r="M64" s="9"/>
      <c r="N64" s="13"/>
      <c r="O64" s="9"/>
      <c r="P64" s="9"/>
    </row>
    <row r="65" spans="1:16" x14ac:dyDescent="0.25">
      <c r="A65" s="18"/>
      <c r="B65" s="27"/>
      <c r="L65" s="9"/>
      <c r="M65" s="9"/>
      <c r="N65" s="13"/>
      <c r="O65" s="9"/>
      <c r="P65" s="9"/>
    </row>
    <row r="66" spans="1:16" x14ac:dyDescent="0.25">
      <c r="A66" s="18"/>
      <c r="B66" s="27"/>
      <c r="L66" s="9"/>
      <c r="M66" s="9"/>
      <c r="N66" s="13"/>
      <c r="O66" s="9"/>
      <c r="P66" s="9"/>
    </row>
    <row r="67" spans="1:16" x14ac:dyDescent="0.25">
      <c r="A67" s="18"/>
      <c r="B67" s="27"/>
      <c r="L67" s="9"/>
      <c r="M67" s="9"/>
      <c r="N67" s="13"/>
      <c r="O67" s="9"/>
      <c r="P67" s="9"/>
    </row>
    <row r="68" spans="1:16" x14ac:dyDescent="0.25">
      <c r="A68" s="18"/>
      <c r="B68" s="27"/>
      <c r="L68" s="9"/>
      <c r="M68" s="9"/>
      <c r="N68" s="13"/>
      <c r="O68" s="9"/>
      <c r="P68" s="9"/>
    </row>
    <row r="69" spans="1:16" x14ac:dyDescent="0.25">
      <c r="A69" s="18"/>
      <c r="B69" s="27"/>
      <c r="L69" s="9"/>
      <c r="M69" s="9"/>
      <c r="N69" s="13"/>
      <c r="O69" s="9"/>
      <c r="P69" s="9"/>
    </row>
    <row r="70" spans="1:16" x14ac:dyDescent="0.25">
      <c r="A70" s="18"/>
      <c r="B70" s="27"/>
      <c r="L70" s="9"/>
      <c r="M70" s="9"/>
      <c r="N70" s="13"/>
      <c r="O70" s="9"/>
      <c r="P70" s="9"/>
    </row>
    <row r="71" spans="1:16" x14ac:dyDescent="0.25">
      <c r="A71" s="18"/>
      <c r="B71" s="27"/>
      <c r="L71" s="9"/>
      <c r="M71" s="9"/>
      <c r="N71" s="13"/>
      <c r="O71" s="9"/>
      <c r="P71" s="9"/>
    </row>
    <row r="72" spans="1:16" x14ac:dyDescent="0.25">
      <c r="B72" s="27"/>
      <c r="L72" s="9"/>
      <c r="M72" s="9"/>
      <c r="N72" s="13"/>
      <c r="O72" s="9"/>
      <c r="P72" s="9"/>
    </row>
    <row r="73" spans="1:16" x14ac:dyDescent="0.25">
      <c r="B73" s="27"/>
      <c r="L73" s="9"/>
      <c r="M73" s="9"/>
      <c r="N73" s="13"/>
      <c r="O73" s="9"/>
      <c r="P73" s="9"/>
    </row>
    <row r="74" spans="1:16" x14ac:dyDescent="0.25">
      <c r="B74" s="27"/>
      <c r="L74" s="9"/>
      <c r="M74" s="9"/>
      <c r="N74" s="13"/>
      <c r="O74" s="9"/>
      <c r="P74" s="9"/>
    </row>
    <row r="75" spans="1:16" x14ac:dyDescent="0.25">
      <c r="B75" s="27"/>
      <c r="L75" s="9"/>
      <c r="M75" s="9"/>
      <c r="N75" s="13"/>
      <c r="O75" s="9"/>
      <c r="P75" s="9"/>
    </row>
    <row r="76" spans="1:16" x14ac:dyDescent="0.25">
      <c r="B76" s="27"/>
      <c r="L76" s="9"/>
      <c r="M76" s="9"/>
      <c r="N76" s="13"/>
      <c r="O76" s="9"/>
      <c r="P76" s="9"/>
    </row>
    <row r="77" spans="1:16" x14ac:dyDescent="0.25">
      <c r="B77" s="27"/>
      <c r="L77" s="9"/>
      <c r="M77" s="9"/>
      <c r="N77" s="13"/>
      <c r="O77" s="9"/>
      <c r="P77" s="9"/>
    </row>
    <row r="78" spans="1:16" x14ac:dyDescent="0.25">
      <c r="B78" s="27"/>
      <c r="L78" s="9"/>
      <c r="M78" s="9"/>
      <c r="N78" s="13"/>
      <c r="O78" s="9"/>
      <c r="P78" s="9"/>
    </row>
    <row r="79" spans="1:16" x14ac:dyDescent="0.25">
      <c r="B79" s="27"/>
      <c r="L79" s="9"/>
      <c r="M79" s="9"/>
      <c r="N79" s="13"/>
      <c r="O79" s="9"/>
      <c r="P79" s="9"/>
    </row>
    <row r="80" spans="1:16" x14ac:dyDescent="0.25">
      <c r="B80" s="27"/>
    </row>
    <row r="81" spans="2:2" x14ac:dyDescent="0.25">
      <c r="B81" s="27"/>
    </row>
    <row r="82" spans="2:2" x14ac:dyDescent="0.25">
      <c r="B82" s="27"/>
    </row>
    <row r="83" spans="2:2" x14ac:dyDescent="0.25">
      <c r="B83" s="27"/>
    </row>
    <row r="84" spans="2:2" x14ac:dyDescent="0.25">
      <c r="B84" s="27"/>
    </row>
    <row r="85" spans="2:2" x14ac:dyDescent="0.25">
      <c r="B85" s="27"/>
    </row>
    <row r="86" spans="2:2" x14ac:dyDescent="0.25">
      <c r="B86" s="27"/>
    </row>
    <row r="87" spans="2:2" x14ac:dyDescent="0.25">
      <c r="B87" s="27"/>
    </row>
    <row r="88" spans="2:2" x14ac:dyDescent="0.25">
      <c r="B88" s="27"/>
    </row>
    <row r="89" spans="2:2" x14ac:dyDescent="0.25">
      <c r="B89" s="27"/>
    </row>
    <row r="90" spans="2:2" x14ac:dyDescent="0.25">
      <c r="B90" s="27"/>
    </row>
    <row r="91" spans="2:2" x14ac:dyDescent="0.25">
      <c r="B91" s="27"/>
    </row>
    <row r="92" spans="2:2" x14ac:dyDescent="0.25">
      <c r="B92" s="27"/>
    </row>
    <row r="93" spans="2:2" x14ac:dyDescent="0.25">
      <c r="B93" s="27"/>
    </row>
    <row r="94" spans="2:2" x14ac:dyDescent="0.25">
      <c r="B94" s="27"/>
    </row>
    <row r="95" spans="2:2" x14ac:dyDescent="0.25">
      <c r="B95" s="27"/>
    </row>
    <row r="96" spans="2:2" x14ac:dyDescent="0.25">
      <c r="B96" s="27"/>
    </row>
    <row r="97" spans="2:2" x14ac:dyDescent="0.25">
      <c r="B97" s="27"/>
    </row>
    <row r="98" spans="2:2" x14ac:dyDescent="0.25">
      <c r="B98" s="27"/>
    </row>
    <row r="99" spans="2:2" x14ac:dyDescent="0.25">
      <c r="B99" s="27"/>
    </row>
    <row r="100" spans="2:2" x14ac:dyDescent="0.25">
      <c r="B100" s="27"/>
    </row>
    <row r="101" spans="2:2" x14ac:dyDescent="0.25">
      <c r="B101" s="27"/>
    </row>
    <row r="102" spans="2:2" x14ac:dyDescent="0.25">
      <c r="B102" s="27"/>
    </row>
    <row r="103" spans="2:2" x14ac:dyDescent="0.25">
      <c r="B103" s="27"/>
    </row>
    <row r="104" spans="2:2" x14ac:dyDescent="0.25">
      <c r="B104" s="27"/>
    </row>
    <row r="105" spans="2:2" x14ac:dyDescent="0.25">
      <c r="B105" s="27"/>
    </row>
    <row r="106" spans="2:2" x14ac:dyDescent="0.25">
      <c r="B106" s="27"/>
    </row>
    <row r="107" spans="2:2" x14ac:dyDescent="0.25">
      <c r="B107" s="27"/>
    </row>
    <row r="108" spans="2:2" x14ac:dyDescent="0.25">
      <c r="B108" s="27"/>
    </row>
    <row r="109" spans="2:2" x14ac:dyDescent="0.25">
      <c r="B109" s="27"/>
    </row>
    <row r="110" spans="2:2" x14ac:dyDescent="0.25">
      <c r="B110" s="27"/>
    </row>
    <row r="111" spans="2:2" x14ac:dyDescent="0.25">
      <c r="B111" s="27"/>
    </row>
    <row r="112" spans="2:2" x14ac:dyDescent="0.25">
      <c r="B112" s="27"/>
    </row>
    <row r="113" spans="2:2" x14ac:dyDescent="0.25">
      <c r="B113" s="27"/>
    </row>
    <row r="114" spans="2:2" x14ac:dyDescent="0.25">
      <c r="B114" s="27"/>
    </row>
    <row r="115" spans="2:2" x14ac:dyDescent="0.25">
      <c r="B115" s="27"/>
    </row>
    <row r="116" spans="2:2" x14ac:dyDescent="0.25">
      <c r="B116" s="27"/>
    </row>
    <row r="117" spans="2:2" x14ac:dyDescent="0.25">
      <c r="B117" s="27"/>
    </row>
    <row r="118" spans="2:2" x14ac:dyDescent="0.25">
      <c r="B118" s="27"/>
    </row>
    <row r="119" spans="2:2" x14ac:dyDescent="0.25">
      <c r="B119" s="27"/>
    </row>
    <row r="120" spans="2:2" x14ac:dyDescent="0.25">
      <c r="B120" s="27"/>
    </row>
    <row r="121" spans="2:2" x14ac:dyDescent="0.25">
      <c r="B121" s="27"/>
    </row>
    <row r="122" spans="2:2" x14ac:dyDescent="0.25">
      <c r="B122" s="27"/>
    </row>
    <row r="123" spans="2:2" x14ac:dyDescent="0.25">
      <c r="B123" s="27"/>
    </row>
    <row r="124" spans="2:2" x14ac:dyDescent="0.25">
      <c r="B124" s="27"/>
    </row>
    <row r="125" spans="2:2" x14ac:dyDescent="0.25">
      <c r="B125" s="27"/>
    </row>
    <row r="126" spans="2:2" x14ac:dyDescent="0.25">
      <c r="B126" s="27"/>
    </row>
    <row r="127" spans="2:2" x14ac:dyDescent="0.25">
      <c r="B127" s="27"/>
    </row>
    <row r="128" spans="2:2" x14ac:dyDescent="0.25">
      <c r="B128" s="27"/>
    </row>
    <row r="129" spans="2:2" x14ac:dyDescent="0.25">
      <c r="B129" s="27"/>
    </row>
    <row r="130" spans="2:2" x14ac:dyDescent="0.25">
      <c r="B130" s="27"/>
    </row>
    <row r="131" spans="2:2" x14ac:dyDescent="0.25">
      <c r="B131" s="27"/>
    </row>
    <row r="132" spans="2:2" x14ac:dyDescent="0.25">
      <c r="B132" s="27"/>
    </row>
    <row r="133" spans="2:2" x14ac:dyDescent="0.25">
      <c r="B133" s="27"/>
    </row>
    <row r="134" spans="2:2" x14ac:dyDescent="0.25">
      <c r="B134" s="27"/>
    </row>
    <row r="135" spans="2:2" x14ac:dyDescent="0.25">
      <c r="B135" s="27"/>
    </row>
    <row r="136" spans="2:2" x14ac:dyDescent="0.25">
      <c r="B136" s="27"/>
    </row>
    <row r="137" spans="2:2" x14ac:dyDescent="0.25">
      <c r="B137" s="27"/>
    </row>
    <row r="138" spans="2:2" x14ac:dyDescent="0.25">
      <c r="B138" s="27"/>
    </row>
    <row r="139" spans="2:2" x14ac:dyDescent="0.25">
      <c r="B139" s="27"/>
    </row>
    <row r="140" spans="2:2" x14ac:dyDescent="0.25">
      <c r="B140" s="27"/>
    </row>
    <row r="141" spans="2:2" x14ac:dyDescent="0.25">
      <c r="B141" s="27"/>
    </row>
    <row r="142" spans="2:2" x14ac:dyDescent="0.25">
      <c r="B142" s="27"/>
    </row>
    <row r="143" spans="2:2" x14ac:dyDescent="0.25">
      <c r="B143" s="27"/>
    </row>
    <row r="144" spans="2:2" x14ac:dyDescent="0.25">
      <c r="B144" s="27"/>
    </row>
    <row r="145" spans="2:2" x14ac:dyDescent="0.25">
      <c r="B145" s="27"/>
    </row>
    <row r="146" spans="2:2" x14ac:dyDescent="0.25">
      <c r="B146" s="27"/>
    </row>
    <row r="147" spans="2:2" x14ac:dyDescent="0.25">
      <c r="B147" s="27"/>
    </row>
    <row r="148" spans="2:2" x14ac:dyDescent="0.25">
      <c r="B148" s="27"/>
    </row>
    <row r="149" spans="2:2" x14ac:dyDescent="0.25">
      <c r="B149" s="27"/>
    </row>
    <row r="150" spans="2:2" x14ac:dyDescent="0.25">
      <c r="B150" s="27"/>
    </row>
    <row r="151" spans="2:2" x14ac:dyDescent="0.25">
      <c r="B151" s="27"/>
    </row>
    <row r="152" spans="2:2" x14ac:dyDescent="0.25">
      <c r="B152" s="27"/>
    </row>
    <row r="153" spans="2:2" x14ac:dyDescent="0.25">
      <c r="B153" s="27"/>
    </row>
    <row r="154" spans="2:2" x14ac:dyDescent="0.25">
      <c r="B154" s="27"/>
    </row>
    <row r="155" spans="2:2" x14ac:dyDescent="0.25">
      <c r="B155" s="27"/>
    </row>
    <row r="156" spans="2:2" x14ac:dyDescent="0.25">
      <c r="B156" s="27"/>
    </row>
    <row r="157" spans="2:2" x14ac:dyDescent="0.25">
      <c r="B157" s="27"/>
    </row>
    <row r="158" spans="2:2" x14ac:dyDescent="0.25">
      <c r="B158" s="27"/>
    </row>
    <row r="159" spans="2:2" x14ac:dyDescent="0.25">
      <c r="B159" s="27"/>
    </row>
    <row r="160" spans="2:2" x14ac:dyDescent="0.25">
      <c r="B160" s="27"/>
    </row>
    <row r="161" spans="2:2" x14ac:dyDescent="0.25">
      <c r="B161" s="27"/>
    </row>
    <row r="162" spans="2:2" x14ac:dyDescent="0.25">
      <c r="B162" s="27"/>
    </row>
    <row r="163" spans="2:2" x14ac:dyDescent="0.25">
      <c r="B163" s="27"/>
    </row>
    <row r="164" spans="2:2" x14ac:dyDescent="0.25">
      <c r="B164" s="27"/>
    </row>
    <row r="165" spans="2:2" x14ac:dyDescent="0.25">
      <c r="B165" s="27"/>
    </row>
    <row r="166" spans="2:2" x14ac:dyDescent="0.25">
      <c r="B166" s="27"/>
    </row>
    <row r="167" spans="2:2" x14ac:dyDescent="0.25">
      <c r="B167" s="27"/>
    </row>
    <row r="168" spans="2:2" x14ac:dyDescent="0.25">
      <c r="B168" s="27"/>
    </row>
    <row r="169" spans="2:2" x14ac:dyDescent="0.25">
      <c r="B169" s="27"/>
    </row>
    <row r="170" spans="2:2" x14ac:dyDescent="0.25">
      <c r="B170" s="27"/>
    </row>
    <row r="171" spans="2:2" x14ac:dyDescent="0.25">
      <c r="B171" s="27"/>
    </row>
    <row r="172" spans="2:2" x14ac:dyDescent="0.25">
      <c r="B172" s="27"/>
    </row>
    <row r="173" spans="2:2" x14ac:dyDescent="0.25">
      <c r="B173" s="27"/>
    </row>
    <row r="174" spans="2:2" x14ac:dyDescent="0.25">
      <c r="B174" s="27"/>
    </row>
    <row r="175" spans="2:2" x14ac:dyDescent="0.25">
      <c r="B175" s="27"/>
    </row>
    <row r="176" spans="2:2" x14ac:dyDescent="0.25">
      <c r="B176" s="27"/>
    </row>
    <row r="177" spans="2:2" x14ac:dyDescent="0.25">
      <c r="B177" s="27"/>
    </row>
    <row r="178" spans="2:2" x14ac:dyDescent="0.25">
      <c r="B178" s="27"/>
    </row>
    <row r="179" spans="2:2" x14ac:dyDescent="0.25">
      <c r="B179" s="27"/>
    </row>
    <row r="180" spans="2:2" x14ac:dyDescent="0.25">
      <c r="B180" s="27"/>
    </row>
    <row r="181" spans="2:2" x14ac:dyDescent="0.25">
      <c r="B181" s="27"/>
    </row>
    <row r="182" spans="2:2" x14ac:dyDescent="0.25">
      <c r="B182" s="27"/>
    </row>
    <row r="183" spans="2:2" x14ac:dyDescent="0.25">
      <c r="B183" s="27"/>
    </row>
    <row r="184" spans="2:2" x14ac:dyDescent="0.25">
      <c r="B184" s="27"/>
    </row>
    <row r="185" spans="2:2" x14ac:dyDescent="0.25">
      <c r="B185" s="27"/>
    </row>
    <row r="186" spans="2:2" x14ac:dyDescent="0.25">
      <c r="B186" s="27"/>
    </row>
    <row r="187" spans="2:2" x14ac:dyDescent="0.25">
      <c r="B187" s="27"/>
    </row>
    <row r="188" spans="2:2" x14ac:dyDescent="0.25">
      <c r="B188" s="27"/>
    </row>
    <row r="189" spans="2:2" x14ac:dyDescent="0.25">
      <c r="B189" s="27"/>
    </row>
    <row r="190" spans="2:2" x14ac:dyDescent="0.25">
      <c r="B190" s="27"/>
    </row>
    <row r="191" spans="2:2" x14ac:dyDescent="0.25">
      <c r="B191" s="27"/>
    </row>
    <row r="192" spans="2:2" x14ac:dyDescent="0.25">
      <c r="B192" s="27"/>
    </row>
    <row r="193" spans="2:2" x14ac:dyDescent="0.25">
      <c r="B193" s="27"/>
    </row>
    <row r="194" spans="2:2" x14ac:dyDescent="0.25">
      <c r="B194" s="27"/>
    </row>
    <row r="195" spans="2:2" x14ac:dyDescent="0.25">
      <c r="B195" s="27"/>
    </row>
    <row r="196" spans="2:2" x14ac:dyDescent="0.25">
      <c r="B196" s="27"/>
    </row>
    <row r="197" spans="2:2" x14ac:dyDescent="0.25">
      <c r="B197" s="27"/>
    </row>
    <row r="198" spans="2:2" x14ac:dyDescent="0.25">
      <c r="B198" s="27"/>
    </row>
    <row r="199" spans="2:2" x14ac:dyDescent="0.25">
      <c r="B199" s="27"/>
    </row>
    <row r="200" spans="2:2" x14ac:dyDescent="0.25">
      <c r="B200" s="27"/>
    </row>
    <row r="201" spans="2:2" x14ac:dyDescent="0.25">
      <c r="B201" s="27"/>
    </row>
    <row r="202" spans="2:2" x14ac:dyDescent="0.25">
      <c r="B202" s="27"/>
    </row>
    <row r="203" spans="2:2" x14ac:dyDescent="0.25">
      <c r="B203" s="27"/>
    </row>
    <row r="204" spans="2:2" x14ac:dyDescent="0.25">
      <c r="B204" s="27"/>
    </row>
    <row r="205" spans="2:2" x14ac:dyDescent="0.25">
      <c r="B205" s="27"/>
    </row>
    <row r="206" spans="2:2" x14ac:dyDescent="0.25">
      <c r="B206" s="27"/>
    </row>
    <row r="207" spans="2:2" x14ac:dyDescent="0.25">
      <c r="B207" s="27"/>
    </row>
    <row r="208" spans="2:2" x14ac:dyDescent="0.25">
      <c r="B208" s="27"/>
    </row>
    <row r="209" spans="2:2" x14ac:dyDescent="0.25">
      <c r="B209" s="27"/>
    </row>
    <row r="210" spans="2:2" x14ac:dyDescent="0.25">
      <c r="B210" s="27"/>
    </row>
    <row r="211" spans="2:2" x14ac:dyDescent="0.25">
      <c r="B211" s="27"/>
    </row>
    <row r="212" spans="2:2" x14ac:dyDescent="0.25">
      <c r="B212" s="27"/>
    </row>
    <row r="213" spans="2:2" x14ac:dyDescent="0.25">
      <c r="B213" s="27"/>
    </row>
    <row r="214" spans="2:2" x14ac:dyDescent="0.25">
      <c r="B214" s="27"/>
    </row>
    <row r="215" spans="2:2" x14ac:dyDescent="0.25">
      <c r="B215" s="27"/>
    </row>
    <row r="216" spans="2:2" x14ac:dyDescent="0.25">
      <c r="B216" s="27"/>
    </row>
    <row r="217" spans="2:2" x14ac:dyDescent="0.25">
      <c r="B217" s="27"/>
    </row>
    <row r="218" spans="2:2" x14ac:dyDescent="0.25">
      <c r="B218" s="27"/>
    </row>
    <row r="219" spans="2:2" x14ac:dyDescent="0.25">
      <c r="B219" s="27"/>
    </row>
    <row r="220" spans="2:2" x14ac:dyDescent="0.25">
      <c r="B220" s="27"/>
    </row>
    <row r="221" spans="2:2" x14ac:dyDescent="0.25">
      <c r="B221" s="27"/>
    </row>
    <row r="222" spans="2:2" x14ac:dyDescent="0.25">
      <c r="B222" s="27"/>
    </row>
    <row r="223" spans="2:2" x14ac:dyDescent="0.25">
      <c r="B223" s="27"/>
    </row>
    <row r="224" spans="2:2" x14ac:dyDescent="0.25">
      <c r="B224" s="27"/>
    </row>
    <row r="225" spans="2:2" x14ac:dyDescent="0.25">
      <c r="B225" s="27"/>
    </row>
    <row r="226" spans="2:2" x14ac:dyDescent="0.25">
      <c r="B226" s="27"/>
    </row>
    <row r="227" spans="2:2" x14ac:dyDescent="0.25">
      <c r="B227" s="27"/>
    </row>
    <row r="228" spans="2:2" x14ac:dyDescent="0.25">
      <c r="B228" s="27"/>
    </row>
  </sheetData>
  <mergeCells count="5">
    <mergeCell ref="L6:P6"/>
    <mergeCell ref="B6:C6"/>
    <mergeCell ref="E6:G6"/>
    <mergeCell ref="I7:J7"/>
    <mergeCell ref="I10:J12"/>
  </mergeCells>
  <dataValidations count="1">
    <dataValidation type="list" showInputMessage="1" showErrorMessage="1" sqref="B3">
      <formula1>"Mouse,Human"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_Litrature_sgRNAs">
                <anchor moveWithCells="1" sizeWithCells="1">
                  <from>
                    <xdr:col>2</xdr:col>
                    <xdr:colOff>104775</xdr:colOff>
                    <xdr:row>0</xdr:row>
                    <xdr:rowOff>76200</xdr:rowOff>
                  </from>
                  <to>
                    <xdr:col>2</xdr:col>
                    <xdr:colOff>1390650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Annotate_sgRNAs_Browse">
                <anchor moveWithCells="1" sizeWithCells="1">
                  <from>
                    <xdr:col>3</xdr:col>
                    <xdr:colOff>19050</xdr:colOff>
                    <xdr:row>0</xdr:row>
                    <xdr:rowOff>76200</xdr:rowOff>
                  </from>
                  <to>
                    <xdr:col>3</xdr:col>
                    <xdr:colOff>1419225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Update_Dual_sgRNA_combinations">
                <anchor moveWithCells="1" sizeWithCells="1">
                  <from>
                    <xdr:col>7</xdr:col>
                    <xdr:colOff>628650</xdr:colOff>
                    <xdr:row>19</xdr:row>
                    <xdr:rowOff>161925</xdr:rowOff>
                  </from>
                  <to>
                    <xdr:col>10</xdr:col>
                    <xdr:colOff>38100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Annotate_sgRNAs_Download">
                <anchor moveWithCells="1" sizeWithCells="1">
                  <from>
                    <xdr:col>4</xdr:col>
                    <xdr:colOff>47625</xdr:colOff>
                    <xdr:row>0</xdr:row>
                    <xdr:rowOff>76200</xdr:rowOff>
                  </from>
                  <to>
                    <xdr:col>7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Update">
                <anchor moveWithCells="1" sizeWithCells="1">
                  <from>
                    <xdr:col>8</xdr:col>
                    <xdr:colOff>257175</xdr:colOff>
                    <xdr:row>25</xdr:row>
                    <xdr:rowOff>9525</xdr:rowOff>
                  </from>
                  <to>
                    <xdr:col>9</xdr:col>
                    <xdr:colOff>238125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8"/>
  <sheetViews>
    <sheetView workbookViewId="0">
      <selection activeCell="I8" sqref="I8"/>
    </sheetView>
  </sheetViews>
  <sheetFormatPr defaultRowHeight="15" x14ac:dyDescent="0.25"/>
  <cols>
    <col min="1" max="1" width="9.140625" style="41"/>
    <col min="4" max="4" width="10" bestFit="1" customWidth="1"/>
  </cols>
  <sheetData>
    <row r="1" spans="1:6" x14ac:dyDescent="0.25">
      <c r="A1" s="41" t="s">
        <v>27</v>
      </c>
    </row>
    <row r="2" spans="1:6" x14ac:dyDescent="0.25">
      <c r="A2" s="41">
        <v>1</v>
      </c>
      <c r="B2" t="s">
        <v>54</v>
      </c>
      <c r="C2" s="40" t="s">
        <v>30</v>
      </c>
      <c r="D2" t="str">
        <f t="shared" ref="D2:D25" si="0">MID(C2,113,9)</f>
        <v>568815597</v>
      </c>
      <c r="E2" t="s">
        <v>80</v>
      </c>
      <c r="F2" t="s">
        <v>81</v>
      </c>
    </row>
    <row r="3" spans="1:6" x14ac:dyDescent="0.25">
      <c r="A3" s="41">
        <v>2</v>
      </c>
      <c r="B3" t="s">
        <v>55</v>
      </c>
      <c r="C3" t="s">
        <v>31</v>
      </c>
      <c r="D3" t="str">
        <f t="shared" si="0"/>
        <v>568815596</v>
      </c>
      <c r="E3" t="s">
        <v>82</v>
      </c>
      <c r="F3" t="s">
        <v>83</v>
      </c>
    </row>
    <row r="4" spans="1:6" x14ac:dyDescent="0.25">
      <c r="A4" s="41">
        <v>3</v>
      </c>
      <c r="B4" t="s">
        <v>56</v>
      </c>
      <c r="C4" t="s">
        <v>32</v>
      </c>
      <c r="D4" t="str">
        <f t="shared" si="0"/>
        <v>568815595</v>
      </c>
      <c r="E4" t="s">
        <v>84</v>
      </c>
      <c r="F4" t="s">
        <v>85</v>
      </c>
    </row>
    <row r="5" spans="1:6" x14ac:dyDescent="0.25">
      <c r="A5" s="41">
        <v>4</v>
      </c>
      <c r="B5" t="s">
        <v>57</v>
      </c>
      <c r="C5" t="s">
        <v>33</v>
      </c>
      <c r="D5" t="str">
        <f t="shared" si="0"/>
        <v>568815594</v>
      </c>
      <c r="E5" t="s">
        <v>86</v>
      </c>
      <c r="F5" t="s">
        <v>87</v>
      </c>
    </row>
    <row r="6" spans="1:6" x14ac:dyDescent="0.25">
      <c r="A6" s="41">
        <v>5</v>
      </c>
      <c r="B6" t="s">
        <v>58</v>
      </c>
      <c r="C6" t="s">
        <v>34</v>
      </c>
      <c r="D6" t="str">
        <f t="shared" si="0"/>
        <v>568815593</v>
      </c>
      <c r="E6" t="s">
        <v>88</v>
      </c>
      <c r="F6" t="s">
        <v>89</v>
      </c>
    </row>
    <row r="7" spans="1:6" x14ac:dyDescent="0.25">
      <c r="A7" s="41">
        <v>6</v>
      </c>
      <c r="B7" t="s">
        <v>59</v>
      </c>
      <c r="C7" t="s">
        <v>35</v>
      </c>
      <c r="D7" t="str">
        <f t="shared" si="0"/>
        <v>568815592</v>
      </c>
      <c r="E7" t="s">
        <v>90</v>
      </c>
      <c r="F7" t="s">
        <v>91</v>
      </c>
    </row>
    <row r="8" spans="1:6" x14ac:dyDescent="0.25">
      <c r="A8" s="41">
        <v>7</v>
      </c>
      <c r="B8" t="s">
        <v>60</v>
      </c>
      <c r="C8" t="s">
        <v>36</v>
      </c>
      <c r="D8" t="str">
        <f t="shared" si="0"/>
        <v>568815591</v>
      </c>
      <c r="E8" t="s">
        <v>92</v>
      </c>
      <c r="F8" t="s">
        <v>93</v>
      </c>
    </row>
    <row r="9" spans="1:6" x14ac:dyDescent="0.25">
      <c r="A9" s="41">
        <v>8</v>
      </c>
      <c r="B9" t="s">
        <v>61</v>
      </c>
      <c r="C9" t="s">
        <v>37</v>
      </c>
      <c r="D9" t="str">
        <f t="shared" si="0"/>
        <v>568815590</v>
      </c>
      <c r="E9" t="s">
        <v>94</v>
      </c>
      <c r="F9" t="s">
        <v>95</v>
      </c>
    </row>
    <row r="10" spans="1:6" x14ac:dyDescent="0.25">
      <c r="A10" s="41">
        <v>9</v>
      </c>
      <c r="B10" t="s">
        <v>62</v>
      </c>
      <c r="C10" t="s">
        <v>38</v>
      </c>
      <c r="D10" t="str">
        <f t="shared" si="0"/>
        <v>568815589</v>
      </c>
      <c r="E10" t="s">
        <v>96</v>
      </c>
      <c r="F10" t="s">
        <v>97</v>
      </c>
    </row>
    <row r="11" spans="1:6" x14ac:dyDescent="0.25">
      <c r="A11" s="41">
        <v>10</v>
      </c>
      <c r="B11" t="s">
        <v>63</v>
      </c>
      <c r="C11" t="s">
        <v>39</v>
      </c>
      <c r="D11" t="str">
        <f t="shared" si="0"/>
        <v>568815588</v>
      </c>
      <c r="E11" t="s">
        <v>98</v>
      </c>
      <c r="F11" t="s">
        <v>99</v>
      </c>
    </row>
    <row r="12" spans="1:6" x14ac:dyDescent="0.25">
      <c r="A12" s="41">
        <v>11</v>
      </c>
      <c r="B12" t="s">
        <v>64</v>
      </c>
      <c r="C12" t="s">
        <v>40</v>
      </c>
      <c r="D12" t="str">
        <f t="shared" si="0"/>
        <v>568815587</v>
      </c>
      <c r="E12" t="s">
        <v>100</v>
      </c>
      <c r="F12" t="s">
        <v>101</v>
      </c>
    </row>
    <row r="13" spans="1:6" x14ac:dyDescent="0.25">
      <c r="A13" s="41">
        <v>12</v>
      </c>
      <c r="B13" t="s">
        <v>65</v>
      </c>
      <c r="C13" t="s">
        <v>41</v>
      </c>
      <c r="D13" t="str">
        <f t="shared" si="0"/>
        <v>568815586</v>
      </c>
      <c r="E13" t="s">
        <v>102</v>
      </c>
      <c r="F13" t="s">
        <v>103</v>
      </c>
    </row>
    <row r="14" spans="1:6" x14ac:dyDescent="0.25">
      <c r="A14" s="41">
        <v>13</v>
      </c>
      <c r="B14" t="s">
        <v>66</v>
      </c>
      <c r="C14" t="s">
        <v>42</v>
      </c>
      <c r="D14" t="str">
        <f t="shared" si="0"/>
        <v>568815585</v>
      </c>
      <c r="E14" t="s">
        <v>104</v>
      </c>
      <c r="F14" t="s">
        <v>105</v>
      </c>
    </row>
    <row r="15" spans="1:6" x14ac:dyDescent="0.25">
      <c r="A15" s="41">
        <v>14</v>
      </c>
      <c r="B15" t="s">
        <v>67</v>
      </c>
      <c r="C15" t="s">
        <v>43</v>
      </c>
      <c r="D15" t="str">
        <f t="shared" si="0"/>
        <v>568815584</v>
      </c>
      <c r="E15" t="s">
        <v>106</v>
      </c>
      <c r="F15" t="s">
        <v>107</v>
      </c>
    </row>
    <row r="16" spans="1:6" x14ac:dyDescent="0.25">
      <c r="A16" s="41">
        <v>15</v>
      </c>
      <c r="B16" t="s">
        <v>68</v>
      </c>
      <c r="C16" t="s">
        <v>44</v>
      </c>
      <c r="D16" t="str">
        <f t="shared" si="0"/>
        <v>568815583</v>
      </c>
      <c r="E16" t="s">
        <v>108</v>
      </c>
      <c r="F16" t="s">
        <v>109</v>
      </c>
    </row>
    <row r="17" spans="1:6" x14ac:dyDescent="0.25">
      <c r="A17" s="41">
        <v>16</v>
      </c>
      <c r="B17" t="s">
        <v>69</v>
      </c>
      <c r="C17" t="s">
        <v>45</v>
      </c>
      <c r="D17" t="str">
        <f t="shared" si="0"/>
        <v>568815582</v>
      </c>
      <c r="E17" t="s">
        <v>110</v>
      </c>
      <c r="F17" t="s">
        <v>111</v>
      </c>
    </row>
    <row r="18" spans="1:6" x14ac:dyDescent="0.25">
      <c r="A18" s="41">
        <v>17</v>
      </c>
      <c r="B18" t="s">
        <v>70</v>
      </c>
      <c r="C18" t="s">
        <v>46</v>
      </c>
      <c r="D18" t="str">
        <f t="shared" si="0"/>
        <v>568815581</v>
      </c>
      <c r="E18" t="s">
        <v>112</v>
      </c>
      <c r="F18" t="s">
        <v>113</v>
      </c>
    </row>
    <row r="19" spans="1:6" x14ac:dyDescent="0.25">
      <c r="A19" s="41">
        <v>18</v>
      </c>
      <c r="B19" t="s">
        <v>71</v>
      </c>
      <c r="C19" t="s">
        <v>47</v>
      </c>
      <c r="D19" t="str">
        <f t="shared" si="0"/>
        <v>568815580</v>
      </c>
      <c r="E19" t="s">
        <v>114</v>
      </c>
      <c r="F19" t="s">
        <v>115</v>
      </c>
    </row>
    <row r="20" spans="1:6" x14ac:dyDescent="0.25">
      <c r="A20" s="41">
        <v>19</v>
      </c>
      <c r="B20" t="s">
        <v>72</v>
      </c>
      <c r="C20" t="s">
        <v>48</v>
      </c>
      <c r="D20" t="str">
        <f t="shared" si="0"/>
        <v>568815579</v>
      </c>
      <c r="E20" t="s">
        <v>116</v>
      </c>
      <c r="F20" t="s">
        <v>117</v>
      </c>
    </row>
    <row r="21" spans="1:6" x14ac:dyDescent="0.25">
      <c r="A21" s="41">
        <v>20</v>
      </c>
      <c r="B21" t="s">
        <v>73</v>
      </c>
      <c r="C21" t="s">
        <v>49</v>
      </c>
      <c r="D21" t="str">
        <f t="shared" si="0"/>
        <v>568815578</v>
      </c>
      <c r="E21" t="s">
        <v>118</v>
      </c>
      <c r="F21" t="s">
        <v>119</v>
      </c>
    </row>
    <row r="22" spans="1:6" x14ac:dyDescent="0.25">
      <c r="A22" s="41">
        <v>21</v>
      </c>
      <c r="B22" t="s">
        <v>74</v>
      </c>
      <c r="C22" t="s">
        <v>50</v>
      </c>
      <c r="D22" t="str">
        <f t="shared" si="0"/>
        <v>568815577</v>
      </c>
      <c r="E22" t="s">
        <v>120</v>
      </c>
      <c r="F22" t="s">
        <v>121</v>
      </c>
    </row>
    <row r="23" spans="1:6" x14ac:dyDescent="0.25">
      <c r="A23" s="41">
        <v>22</v>
      </c>
      <c r="B23" t="s">
        <v>75</v>
      </c>
      <c r="C23" t="s">
        <v>51</v>
      </c>
      <c r="D23" t="str">
        <f t="shared" si="0"/>
        <v>568815576</v>
      </c>
      <c r="E23" t="s">
        <v>122</v>
      </c>
      <c r="F23" t="s">
        <v>123</v>
      </c>
    </row>
    <row r="24" spans="1:6" x14ac:dyDescent="0.25">
      <c r="A24" s="41" t="s">
        <v>78</v>
      </c>
      <c r="B24" t="s">
        <v>76</v>
      </c>
      <c r="C24" t="s">
        <v>52</v>
      </c>
      <c r="D24" t="str">
        <f t="shared" si="0"/>
        <v>568815575</v>
      </c>
      <c r="E24" t="s">
        <v>124</v>
      </c>
      <c r="F24" t="s">
        <v>125</v>
      </c>
    </row>
    <row r="25" spans="1:6" x14ac:dyDescent="0.25">
      <c r="A25" s="41" t="s">
        <v>79</v>
      </c>
      <c r="B25" t="s">
        <v>77</v>
      </c>
      <c r="C25" t="s">
        <v>53</v>
      </c>
      <c r="D25" t="str">
        <f t="shared" si="0"/>
        <v>568815574</v>
      </c>
      <c r="E25" t="s">
        <v>126</v>
      </c>
      <c r="F25" t="s">
        <v>127</v>
      </c>
    </row>
    <row r="27" spans="1:6" x14ac:dyDescent="0.25">
      <c r="A27" s="41" t="s">
        <v>28</v>
      </c>
    </row>
    <row r="28" spans="1:6" x14ac:dyDescent="0.25">
      <c r="A28" s="41">
        <v>1</v>
      </c>
      <c r="B28" t="s">
        <v>54</v>
      </c>
      <c r="C28" s="40" t="s">
        <v>128</v>
      </c>
      <c r="D28" t="str">
        <f>MID(C28,113,9)</f>
        <v>372099109</v>
      </c>
      <c r="E28" t="s">
        <v>80</v>
      </c>
      <c r="F28" t="s">
        <v>149</v>
      </c>
    </row>
    <row r="29" spans="1:6" x14ac:dyDescent="0.25">
      <c r="A29" s="41">
        <v>2</v>
      </c>
      <c r="B29" t="s">
        <v>55</v>
      </c>
      <c r="C29" t="s">
        <v>129</v>
      </c>
      <c r="D29" t="str">
        <f t="shared" ref="D29:D48" si="1">MID(C29,113,9)</f>
        <v>372099108</v>
      </c>
      <c r="E29" t="s">
        <v>82</v>
      </c>
      <c r="F29" t="s">
        <v>150</v>
      </c>
    </row>
    <row r="30" spans="1:6" x14ac:dyDescent="0.25">
      <c r="A30" s="41">
        <v>3</v>
      </c>
      <c r="B30" t="s">
        <v>56</v>
      </c>
      <c r="C30" t="s">
        <v>130</v>
      </c>
      <c r="D30" t="str">
        <f t="shared" si="1"/>
        <v>372099107</v>
      </c>
      <c r="E30" t="s">
        <v>84</v>
      </c>
      <c r="F30" t="s">
        <v>151</v>
      </c>
    </row>
    <row r="31" spans="1:6" x14ac:dyDescent="0.25">
      <c r="A31" s="41">
        <v>4</v>
      </c>
      <c r="B31" t="s">
        <v>57</v>
      </c>
      <c r="C31" t="s">
        <v>131</v>
      </c>
      <c r="D31" t="str">
        <f t="shared" si="1"/>
        <v>372099106</v>
      </c>
      <c r="E31" t="s">
        <v>86</v>
      </c>
      <c r="F31" t="s">
        <v>152</v>
      </c>
    </row>
    <row r="32" spans="1:6" x14ac:dyDescent="0.25">
      <c r="A32" s="41">
        <v>5</v>
      </c>
      <c r="B32" t="s">
        <v>58</v>
      </c>
      <c r="C32" t="s">
        <v>132</v>
      </c>
      <c r="D32" t="str">
        <f t="shared" si="1"/>
        <v>372099105</v>
      </c>
      <c r="E32" t="s">
        <v>88</v>
      </c>
      <c r="F32" t="s">
        <v>153</v>
      </c>
    </row>
    <row r="33" spans="1:6" x14ac:dyDescent="0.25">
      <c r="A33" s="41">
        <v>6</v>
      </c>
      <c r="B33" t="s">
        <v>59</v>
      </c>
      <c r="C33" t="s">
        <v>133</v>
      </c>
      <c r="D33" t="str">
        <f t="shared" si="1"/>
        <v>372099104</v>
      </c>
      <c r="E33" t="s">
        <v>90</v>
      </c>
      <c r="F33" t="s">
        <v>154</v>
      </c>
    </row>
    <row r="34" spans="1:6" x14ac:dyDescent="0.25">
      <c r="A34" s="41">
        <v>7</v>
      </c>
      <c r="B34" t="s">
        <v>60</v>
      </c>
      <c r="C34" t="s">
        <v>134</v>
      </c>
      <c r="D34" t="str">
        <f t="shared" si="1"/>
        <v>372099103</v>
      </c>
      <c r="E34" t="s">
        <v>92</v>
      </c>
      <c r="F34" t="s">
        <v>155</v>
      </c>
    </row>
    <row r="35" spans="1:6" x14ac:dyDescent="0.25">
      <c r="A35" s="41">
        <v>8</v>
      </c>
      <c r="B35" t="s">
        <v>61</v>
      </c>
      <c r="C35" t="s">
        <v>135</v>
      </c>
      <c r="D35" t="str">
        <f t="shared" si="1"/>
        <v>372099102</v>
      </c>
      <c r="E35" t="s">
        <v>94</v>
      </c>
      <c r="F35" t="s">
        <v>156</v>
      </c>
    </row>
    <row r="36" spans="1:6" x14ac:dyDescent="0.25">
      <c r="A36" s="41">
        <v>9</v>
      </c>
      <c r="B36" t="s">
        <v>62</v>
      </c>
      <c r="C36" t="s">
        <v>136</v>
      </c>
      <c r="D36" t="str">
        <f t="shared" si="1"/>
        <v>372099101</v>
      </c>
      <c r="E36" t="s">
        <v>96</v>
      </c>
      <c r="F36" t="s">
        <v>157</v>
      </c>
    </row>
    <row r="37" spans="1:6" x14ac:dyDescent="0.25">
      <c r="A37" s="41">
        <v>10</v>
      </c>
      <c r="B37" t="s">
        <v>63</v>
      </c>
      <c r="C37" t="s">
        <v>137</v>
      </c>
      <c r="D37" t="str">
        <f t="shared" si="1"/>
        <v>372099100</v>
      </c>
      <c r="E37" t="s">
        <v>98</v>
      </c>
      <c r="F37" t="s">
        <v>158</v>
      </c>
    </row>
    <row r="38" spans="1:6" x14ac:dyDescent="0.25">
      <c r="A38" s="41">
        <v>11</v>
      </c>
      <c r="B38" t="s">
        <v>64</v>
      </c>
      <c r="C38" t="s">
        <v>138</v>
      </c>
      <c r="D38" t="str">
        <f t="shared" si="1"/>
        <v>372099099</v>
      </c>
      <c r="E38" t="s">
        <v>100</v>
      </c>
      <c r="F38" t="s">
        <v>159</v>
      </c>
    </row>
    <row r="39" spans="1:6" x14ac:dyDescent="0.25">
      <c r="A39" s="41">
        <v>12</v>
      </c>
      <c r="B39" t="s">
        <v>65</v>
      </c>
      <c r="C39" t="s">
        <v>139</v>
      </c>
      <c r="D39" t="str">
        <f t="shared" si="1"/>
        <v>372099098</v>
      </c>
      <c r="E39" t="s">
        <v>102</v>
      </c>
      <c r="F39" t="s">
        <v>160</v>
      </c>
    </row>
    <row r="40" spans="1:6" x14ac:dyDescent="0.25">
      <c r="A40" s="41">
        <v>13</v>
      </c>
      <c r="B40" t="s">
        <v>66</v>
      </c>
      <c r="C40" t="s">
        <v>140</v>
      </c>
      <c r="D40" t="str">
        <f t="shared" si="1"/>
        <v>372099097</v>
      </c>
      <c r="E40" t="s">
        <v>104</v>
      </c>
      <c r="F40" t="s">
        <v>161</v>
      </c>
    </row>
    <row r="41" spans="1:6" x14ac:dyDescent="0.25">
      <c r="A41" s="41">
        <v>14</v>
      </c>
      <c r="B41" t="s">
        <v>67</v>
      </c>
      <c r="C41" t="s">
        <v>141</v>
      </c>
      <c r="D41" t="str">
        <f t="shared" si="1"/>
        <v>372099096</v>
      </c>
      <c r="E41" t="s">
        <v>106</v>
      </c>
      <c r="F41" t="s">
        <v>162</v>
      </c>
    </row>
    <row r="42" spans="1:6" x14ac:dyDescent="0.25">
      <c r="A42" s="41">
        <v>15</v>
      </c>
      <c r="B42" t="s">
        <v>68</v>
      </c>
      <c r="C42" t="s">
        <v>142</v>
      </c>
      <c r="D42" t="str">
        <f t="shared" si="1"/>
        <v>372099095</v>
      </c>
      <c r="E42" t="s">
        <v>108</v>
      </c>
      <c r="F42" t="s">
        <v>163</v>
      </c>
    </row>
    <row r="43" spans="1:6" x14ac:dyDescent="0.25">
      <c r="A43" s="41">
        <v>16</v>
      </c>
      <c r="B43" t="s">
        <v>69</v>
      </c>
      <c r="C43" t="s">
        <v>143</v>
      </c>
      <c r="D43" t="str">
        <f t="shared" si="1"/>
        <v>372099094</v>
      </c>
      <c r="E43" t="s">
        <v>110</v>
      </c>
      <c r="F43" t="s">
        <v>164</v>
      </c>
    </row>
    <row r="44" spans="1:6" x14ac:dyDescent="0.25">
      <c r="A44" s="41">
        <v>17</v>
      </c>
      <c r="B44" t="s">
        <v>70</v>
      </c>
      <c r="C44" t="s">
        <v>144</v>
      </c>
      <c r="D44" t="str">
        <f t="shared" si="1"/>
        <v>372099093</v>
      </c>
      <c r="E44" t="s">
        <v>112</v>
      </c>
      <c r="F44" t="s">
        <v>165</v>
      </c>
    </row>
    <row r="45" spans="1:6" x14ac:dyDescent="0.25">
      <c r="A45" s="41">
        <v>18</v>
      </c>
      <c r="B45" t="s">
        <v>71</v>
      </c>
      <c r="C45" t="s">
        <v>145</v>
      </c>
      <c r="D45" t="str">
        <f t="shared" si="1"/>
        <v>372099092</v>
      </c>
      <c r="E45" t="s">
        <v>114</v>
      </c>
      <c r="F45" t="s">
        <v>166</v>
      </c>
    </row>
    <row r="46" spans="1:6" x14ac:dyDescent="0.25">
      <c r="A46" s="41">
        <v>19</v>
      </c>
      <c r="B46" t="s">
        <v>72</v>
      </c>
      <c r="C46" t="s">
        <v>146</v>
      </c>
      <c r="D46" t="str">
        <f t="shared" si="1"/>
        <v>372099091</v>
      </c>
      <c r="E46" t="s">
        <v>116</v>
      </c>
      <c r="F46" t="s">
        <v>167</v>
      </c>
    </row>
    <row r="47" spans="1:6" x14ac:dyDescent="0.25">
      <c r="A47" s="41" t="s">
        <v>78</v>
      </c>
      <c r="B47" t="s">
        <v>76</v>
      </c>
      <c r="C47" t="s">
        <v>147</v>
      </c>
      <c r="D47" t="str">
        <f t="shared" si="1"/>
        <v>372099090</v>
      </c>
      <c r="E47" t="s">
        <v>124</v>
      </c>
      <c r="F47" t="s">
        <v>168</v>
      </c>
    </row>
    <row r="48" spans="1:6" x14ac:dyDescent="0.25">
      <c r="A48" s="41" t="s">
        <v>79</v>
      </c>
      <c r="B48" t="s">
        <v>77</v>
      </c>
      <c r="C48" t="s">
        <v>148</v>
      </c>
      <c r="D48" t="str">
        <f t="shared" si="1"/>
        <v>372099089</v>
      </c>
      <c r="E48" t="s">
        <v>126</v>
      </c>
      <c r="F48" t="s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18"/>
  <sheetViews>
    <sheetView workbookViewId="0">
      <selection activeCell="I8" sqref="I8"/>
    </sheetView>
  </sheetViews>
  <sheetFormatPr defaultRowHeight="15" x14ac:dyDescent="0.25"/>
  <cols>
    <col min="1" max="1" width="26" customWidth="1"/>
  </cols>
  <sheetData>
    <row r="2" spans="1:2" ht="15.75" x14ac:dyDescent="0.25">
      <c r="A2" s="51" t="s">
        <v>192</v>
      </c>
    </row>
    <row r="3" spans="1:2" x14ac:dyDescent="0.25">
      <c r="A3" t="s">
        <v>193</v>
      </c>
    </row>
    <row r="5" spans="1:2" ht="15.75" x14ac:dyDescent="0.25">
      <c r="A5" s="51" t="s">
        <v>194</v>
      </c>
    </row>
    <row r="6" spans="1:2" x14ac:dyDescent="0.25">
      <c r="A6" s="42" t="s">
        <v>195</v>
      </c>
    </row>
    <row r="7" spans="1:2" x14ac:dyDescent="0.25">
      <c r="A7" s="42" t="s">
        <v>196</v>
      </c>
    </row>
    <row r="8" spans="1:2" x14ac:dyDescent="0.25">
      <c r="A8" s="42"/>
    </row>
    <row r="9" spans="1:2" ht="15.75" x14ac:dyDescent="0.25">
      <c r="A9" s="51" t="s">
        <v>208</v>
      </c>
    </row>
    <row r="10" spans="1:2" x14ac:dyDescent="0.25">
      <c r="A10" s="42" t="s">
        <v>197</v>
      </c>
    </row>
    <row r="11" spans="1:2" x14ac:dyDescent="0.25">
      <c r="A11" s="42" t="s">
        <v>198</v>
      </c>
    </row>
    <row r="13" spans="1:2" ht="15.75" x14ac:dyDescent="0.25">
      <c r="A13" s="51" t="s">
        <v>209</v>
      </c>
    </row>
    <row r="14" spans="1:2" x14ac:dyDescent="0.25">
      <c r="A14" t="s">
        <v>199</v>
      </c>
      <c r="B14" s="42" t="s">
        <v>204</v>
      </c>
    </row>
    <row r="15" spans="1:2" x14ac:dyDescent="0.25">
      <c r="A15" t="s">
        <v>200</v>
      </c>
      <c r="B15" s="42" t="s">
        <v>205</v>
      </c>
    </row>
    <row r="16" spans="1:2" x14ac:dyDescent="0.25">
      <c r="A16" t="s">
        <v>201</v>
      </c>
      <c r="B16" s="42" t="s">
        <v>206</v>
      </c>
    </row>
    <row r="17" spans="1:2" x14ac:dyDescent="0.25">
      <c r="A17" t="s">
        <v>202</v>
      </c>
      <c r="B17" s="42" t="s">
        <v>207</v>
      </c>
    </row>
    <row r="18" spans="1:2" x14ac:dyDescent="0.25">
      <c r="A18" t="s">
        <v>203</v>
      </c>
      <c r="B18" s="42" t="s">
        <v>210</v>
      </c>
    </row>
  </sheetData>
  <hyperlinks>
    <hyperlink ref="A6" r:id="rId1"/>
    <hyperlink ref="A7" r:id="rId2"/>
    <hyperlink ref="A10" r:id="rId3"/>
    <hyperlink ref="A11" r:id="rId4"/>
    <hyperlink ref="B15" r:id="rId5"/>
    <hyperlink ref="B14" r:id="rId6"/>
    <hyperlink ref="B16" r:id="rId7"/>
    <hyperlink ref="B17" r:id="rId8"/>
    <hyperlink ref="B18" r:id="rId9"/>
  </hyperlinks>
  <pageMargins left="0.7" right="0.7" top="0.75" bottom="0.75" header="0.3" footer="0.3"/>
  <pageSetup orientation="portrait" r:id="rId1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E09770-4B64-4419-8752-48226F3E90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Main</vt:lpstr>
      <vt:lpstr>Chromosome_IDs</vt:lpstr>
      <vt:lpstr>Info</vt:lpstr>
      <vt:lpstr>Annotation_Name</vt:lpstr>
      <vt:lpstr>AnnotationType</vt:lpstr>
      <vt:lpstr>Count</vt:lpstr>
      <vt:lpstr>CutSite</vt:lpstr>
      <vt:lpstr>DeletionSize</vt:lpstr>
      <vt:lpstr>Frame</vt:lpstr>
      <vt:lpstr>GeneID_Human</vt:lpstr>
      <vt:lpstr>GeneID_Mouse</vt:lpstr>
      <vt:lpstr>HumanLibsgRNAs</vt:lpstr>
      <vt:lpstr>Max_Distance</vt:lpstr>
      <vt:lpstr>Min_Distance_PAM3</vt:lpstr>
      <vt:lpstr>Min_Distance_PAM5</vt:lpstr>
      <vt:lpstr>Min_Distance_PAMin</vt:lpstr>
      <vt:lpstr>Min_Distance_PAMout</vt:lpstr>
      <vt:lpstr>MouseLibsgRNAs</vt:lpstr>
      <vt:lpstr>NewAddress</vt:lpstr>
      <vt:lpstr>PAM_Status</vt:lpstr>
      <vt:lpstr>Reference</vt:lpstr>
      <vt:lpstr>Results</vt:lpstr>
      <vt:lpstr>Sequence</vt:lpstr>
      <vt:lpstr>sgRNA1</vt:lpstr>
      <vt:lpstr>sgRNA2</vt:lpstr>
      <vt:lpstr>Species</vt:lpstr>
      <vt:lpstr>Strand</vt:lpstr>
      <vt:lpstr>Targeted_Gene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Taheri-Ghahfarokhi, Amir</cp:lastModifiedBy>
  <dcterms:created xsi:type="dcterms:W3CDTF">2018-07-13T15:02:00Z</dcterms:created>
  <dcterms:modified xsi:type="dcterms:W3CDTF">2018-08-17T22:19:00Z</dcterms:modified>
</cp:coreProperties>
</file>